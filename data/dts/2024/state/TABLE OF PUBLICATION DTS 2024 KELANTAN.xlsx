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808" firstSheet="5" activeTab="7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<sst xmlns="http://schemas.openxmlformats.org/spreadsheetml/2006/main" count="293" uniqueCount="202">
  <si>
    <t>Jadual 1: Statistik Penting Pelancongan Domestik di Kelantan, 2018 - 2024</t>
  </si>
  <si>
    <t>Table 1: Key Statistics of Domestic Tourism in Kelantan, 2018 - 2024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</si>
  <si>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</si>
  <si>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</si>
  <si>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</si>
  <si>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</si>
  <si>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</si>
  <si>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</si>
  <si>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</si>
  <si>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</si>
  <si>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Kelantan, 2023 dan 2024</t>
  </si>
  <si>
    <t>Table 2: Number of Domestic Visitors by Type of Visitors to Kelantan, 2023 and 2024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</si>
  <si>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</si>
  <si>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</si>
  <si>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</si>
  <si>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</si>
  <si>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</si>
  <si>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</si>
  <si>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Kelantan, 2023 dan 2024</t>
  </si>
  <si>
    <t>Table 3: Number of Domestic Tourism Trips to Kelantan, 2023 and 2024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</si>
  <si>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</si>
  <si>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</si>
  <si>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</si>
  <si>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Kelantan, 2023 dan 2024</t>
  </si>
  <si>
    <t>Table 4: Receipts of Domestic Tourism by Type of Trip in Kelantan, 2023 and 2024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</si>
  <si>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</si>
  <si>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</si>
  <si>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</si>
  <si>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</si>
  <si>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</si>
  <si>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</si>
  <si>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</si>
  <si>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</si>
  <si>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Kelantan, 2023 dan 2024</t>
  </si>
  <si>
    <t>Table 5: Number of Domestic Tourism Trips by Type of Trip to Kelantan, 2023 and 2024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</si>
  <si>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</si>
  <si>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</si>
  <si>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</si>
  <si>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</si>
  <si>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</si>
  <si>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</si>
  <si>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Kelantan, 2023 dan 2024</t>
  </si>
  <si>
    <t>Table 6: Average Length of Stay of Tourists to Kelantan, 2023 and 2024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</si>
  <si>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</si>
  <si>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</si>
  <si>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Kelantan mengikut Komponen, 2023 dan 2024</t>
  </si>
  <si>
    <t>Table 7: Total Receipts from Domestic Visitors to Kelantan by Component, 2023 and 2024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</si>
  <si>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</si>
  <si>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</si>
  <si>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</si>
  <si>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</si>
  <si>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</si>
  <si>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</si>
  <si>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</si>
  <si>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</si>
  <si>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</si>
  <si>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</si>
  <si>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</si>
  <si>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</si>
  <si>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Kelantan mengikut Tujuan Utama, 2024</t>
  </si>
  <si>
    <t>Table 8: Domestic Tourism Trips to Kelantan by Main Purposes of Visit, 2024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</si>
  <si>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</si>
  <si>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</si>
  <si>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</si>
  <si>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</si>
  <si>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</si>
  <si>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</si>
  <si>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</si>
  <si>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</si>
  <si>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</si>
  <si>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</si>
  <si>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</si>
  <si>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Tumpuan Pelawat Domestik dan Pelancong ke Kelantan, 2023 dan 2024</t>
  </si>
  <si>
    <t>Table 9: Top Five Destinations Most Visited by Domestic Visitors and Tourists to Kelantan, 2023 and 2024</t>
  </si>
  <si>
    <t>AEON Lembah Sireh</t>
  </si>
  <si>
    <t>AEON Lembah Sireh</t>
  </si>
  <si>
    <t>AEON Mall Kota Bharu</t>
  </si>
  <si>
    <t>Pasar Siti Khadijah</t>
  </si>
  <si>
    <t>Pasar Siti Khadijah</t>
  </si>
  <si>
    <t>Pantai Cahaya Bulan</t>
  </si>
  <si>
    <t>Pantai Melawi</t>
  </si>
  <si>
    <t>KB Mall</t>
  </si>
  <si>
    <t>KB Mall</t>
  </si>
  <si>
    <t>Pantai Irama</t>
  </si>
  <si>
    <t>Pasar Malam Wakaf Che Yeh</t>
  </si>
  <si>
    <t>Zon Bebas Cukai Rantau Panjang</t>
  </si>
  <si>
    <t>Zon Bebas Cukai Rantau Panjang</t>
  </si>
  <si>
    <t>Pantai Cahaya Bulan</t>
  </si>
  <si>
    <t>Bazar Tengku Anis</t>
  </si>
  <si>
    <t>Jadual 10: Bilangan Pelancong mengikut Negeri Dikunjungi, 2024</t>
  </si>
  <si>
    <t>Table 10: Number of Tourists by State Visited, 2024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</si>
  <si>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</si>
  <si>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</si>
  <si>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</si>
  <si>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</si>
  <si>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</si>
  <si>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</si>
  <si>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</si>
  <si>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</si>
  <si>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</si>
  <si>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</si>
  <si>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</si>
  <si>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</si>
  <si>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</si>
  <si>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</si>
  <si>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</si>
  <si>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</si>
  <si>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</si>
  <si>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</si>
  <si>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</si>
  <si>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Kelantan mengikut Mod Pengangkutan, 2023 dan 2024</t>
  </si>
  <si>
    <t>Table 11: Percentage Distribution of Domestic Visitor Arrivals to Kelantan by Mode of Transport, 2023 and 2024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</si>
  <si>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</si>
  <si>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</si>
  <si>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</si>
  <si>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</si>
  <si>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</si>
  <si>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</si>
  <si>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</si>
  <si>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</si>
  <si>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</si>
  <si>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</si>
  <si>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</si>
  <si>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</si>
  <si>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</si>
  <si>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Kelantan mengikut Jenis Penginapan, 2023 dan 2024</t>
  </si>
  <si>
    <t>Table 12: Percentage Distribution of Tourist Arrivals to Kelantan by Types of Accommodation, 2023 and 2024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</si>
  <si>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</si>
  <si>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</si>
  <si>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</si>
  <si>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</si>
  <si>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</si>
  <si>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</si>
  <si>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</si>
  <si>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</si>
  <si>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Kelantan, 2023 dan 2024</t>
  </si>
  <si>
    <t>Table 13: Social &amp; Demographic Profiles of Domestic Visitors to Kelantan, 2023 and 2024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</si>
  <si>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</si>
  <si>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</si>
  <si>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</si>
  <si>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</si>
  <si>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</si>
  <si>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</si>
  <si>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</si>
  <si>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</si>
  <si>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</si>
  <si>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</si>
  <si>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</si>
  <si>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</si>
  <si>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</si>
  <si>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</si>
  <si>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</si>
  <si>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</si>
  <si>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</si>
  <si>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</si>
  <si>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</si>
  <si>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</si>
  <si>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</si>
  <si>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Kelantan, 2023 dan 2024 (samb.)</t>
  </si>
  <si>
    <t>Table 13: Social &amp; Demographic Profiles of Domestic Visitors to Kelantan, 2023 and 2024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</si>
  <si>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</si>
  <si>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</si>
  <si>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</si>
  <si>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</si>
  <si>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</si>
  <si>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</si>
  <si>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</si>
  <si>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Taraf Pekerjaan
</t>
    </r>
    <r>
      <rPr>
        <i/>
        <sz val="10"/>
        <rFont val="Arial"/>
        <charset val="134"/>
      </rPr>
      <t>Status of Employment</t>
    </r>
  </si>
  <si>
    <r>
      <rPr>
        <b/>
        <sz val="10"/>
        <rFont val="Arial"/>
        <charset val="134"/>
      </rPr>
      <t>Kategori Pekerjaan</t>
    </r>
    <r>
      <rPr>
        <i/>
        <sz val="10"/>
        <rFont val="Arial"/>
        <charset val="134"/>
      </rPr>
      <t xml:space="preserve">                    
Category of Occupancy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</si>
  <si>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</si>
  <si>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</si>
  <si>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</si>
  <si>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</si>
  <si>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</si>
  <si>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</si>
  <si>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</si>
  <si>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</si>
  <si>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</si>
  <si>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</si>
  <si>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di Kelantan mengikut Penarafan Bintang, 2024</t>
  </si>
  <si>
    <t>Table 14: Number of Hotel and Room in Kelantan by Star Rating, 2024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</si>
  <si>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</si>
  <si>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</si>
  <si>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</si>
  <si>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</si>
  <si>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</si>
  <si>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</si>
  <si>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</si>
  <si>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</si>
  <si>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</si>
  <si>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</si>
  <si>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</si>
  <si>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</si>
  <si>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</si>
  <si>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</si>
  <si>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di Kelantan mengikut Lokasi, 2024</t>
  </si>
  <si>
    <t>Table 15: Number of Hotel and Room in Kelantan by Location, 2024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</si>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</sst>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[$-F800]dddd\,\ mmmm\ dd\,\ yyyy"/>
    <numFmt numFmtId="181" formatCode="[$-43E]dd\ mmmm\ yyyy;@"/>
    <numFmt numFmtId="182" formatCode="[$-409]mmm\-yy;@"/>
    <numFmt numFmtId="183" formatCode="_-* #,##0_-;\-* #,##0_-;_-* &quot;-&quot;_-;_-@_-"/>
    <numFmt numFmtId="184" formatCode="_-* #,##0.00_-;\-* #,##0.00_-;_-* &quot;-&quot;??_-;_-@_-"/>
    <numFmt numFmtId="185" formatCode="[$-409]General"/>
    <numFmt numFmtId="186" formatCode="0.0%"/>
    <numFmt numFmtId="187" formatCode="0.0"/>
    <numFmt numFmtId="188" formatCode="#,##0.0"/>
    <numFmt numFmtId="189" formatCode="_(* #,##0_);_(* \(#,##0\);_(* &quot;-&quot;??_);_(@_)"/>
    <numFmt numFmtId="190" formatCode="_(* #,##0.00_);_(* \(#,##0.00\);_(* \-??_);_(@_)"/>
    <numFmt numFmtId="191" formatCode="_-* #,##0_-;\-* #,##0_-;_-* &quot;-&quot;??_-;_-@_-"/>
    <numFmt numFmtId="192" formatCode="_(&quot;$&quot;* #,##0.00_);_(&quot;$&quot;* \(#,##0.00\);_(&quot;$&quot;* &quot;-&quot;??_);_(@_)"/>
    <numFmt numFmtId="193" formatCode="General_)"/>
    <numFmt numFmtId="194" formatCode="[$-409]mmmm\ d\,\ yyyy;@"/>
    <numFmt numFmtId="195" formatCode="0;[Red]0"/>
    <numFmt numFmtId="196" formatCode="#,##0_)"/>
    <numFmt numFmtId="197" formatCode="_(* #,##0.0_);_(* \(#,##0.0\);_(* &quot;-&quot;??_);_(@_)"/>
  </numFmts>
  <fonts count="10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  <font>
      <b/>
      <i/>
      <sz val="10"/>
      <name val="Arial"/>
      <charset val="134"/>
    </font>
  </fonts>
  <fills count="7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0">
    <border>
      <left/>
      <right/>
      <top/>
      <bottom/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/>
      <top/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/>
      <diagonal/>
    </border>
    <border>
      <left/>
      <right/>
      <top style="medium">
        <color rgb="FFBF9000"/>
      </top>
      <bottom/>
      <diagonal/>
    </border>
    <border>
      <left style="medium">
        <color rgb="FFBF9000"/>
      </left>
      <right/>
      <top/>
      <bottom style="medium">
        <color rgb="FFBF9000"/>
      </bottom>
      <diagonal/>
    </border>
    <border>
      <left style="medium">
        <color rgb="FFBF9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1" applyNumberFormat="0" applyAlignment="0" applyProtection="0">
      <alignment vertical="center"/>
    </xf>
    <xf numFmtId="0" fontId="24" fillId="4" borderId="12" applyNumberFormat="0" applyAlignment="0" applyProtection="0">
      <alignment vertical="center"/>
    </xf>
    <xf numFmtId="0" fontId="25" fillId="4" borderId="11" applyNumberFormat="0" applyAlignment="0" applyProtection="0">
      <alignment vertical="center"/>
    </xf>
    <xf numFmtId="0" fontId="26" fillId="5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180" fontId="34" fillId="33" borderId="0" applyNumberFormat="0" applyBorder="0" applyAlignment="0" applyProtection="0"/>
    <xf numFmtId="0" fontId="0" fillId="35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180" fontId="34" fillId="36" borderId="0" applyNumberFormat="0" applyBorder="0" applyAlignment="0" applyProtection="0"/>
    <xf numFmtId="0" fontId="0" fillId="38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180" fontId="34" fillId="39" borderId="0" applyNumberFormat="0" applyBorder="0" applyAlignment="0" applyProtection="0"/>
    <xf numFmtId="0" fontId="0" fillId="41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180" fontId="34" fillId="42" borderId="0" applyNumberFormat="0" applyBorder="0" applyAlignment="0" applyProtection="0"/>
    <xf numFmtId="0" fontId="0" fillId="43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180" fontId="34" fillId="44" borderId="0" applyNumberFormat="0" applyBorder="0" applyAlignment="0" applyProtection="0"/>
    <xf numFmtId="0" fontId="0" fillId="45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180" fontId="34" fillId="34" borderId="0" applyNumberFormat="0" applyBorder="0" applyAlignment="0" applyProtection="0"/>
    <xf numFmtId="0" fontId="0" fillId="46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5" fillId="0" borderId="16">
      <alignment horizontal="center" vertical="center"/>
    </xf>
    <xf numFmtId="0" fontId="35" fillId="0" borderId="17">
      <alignment horizontal="center" vertical="center"/>
    </xf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180" fontId="34" fillId="47" borderId="0" applyNumberFormat="0" applyBorder="0" applyAlignment="0" applyProtection="0"/>
    <xf numFmtId="0" fontId="0" fillId="11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0" fontId="34" fillId="37" borderId="0" applyNumberFormat="0" applyBorder="0" applyAlignment="0" applyProtection="0"/>
    <xf numFmtId="0" fontId="0" fillId="15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180" fontId="34" fillId="49" borderId="0" applyNumberFormat="0" applyBorder="0" applyAlignment="0" applyProtection="0"/>
    <xf numFmtId="0" fontId="0" fillId="1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180" fontId="34" fillId="42" borderId="0" applyNumberFormat="0" applyBorder="0" applyAlignment="0" applyProtection="0"/>
    <xf numFmtId="0" fontId="0" fillId="23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180" fontId="34" fillId="47" borderId="0" applyNumberFormat="0" applyBorder="0" applyAlignment="0" applyProtection="0"/>
    <xf numFmtId="0" fontId="0" fillId="2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180" fontId="34" fillId="51" borderId="0" applyNumberFormat="0" applyBorder="0" applyAlignment="0" applyProtection="0"/>
    <xf numFmtId="0" fontId="0" fillId="3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0" fontId="5" fillId="0" borderId="0" applyNumberFormat="0" applyFill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181" fontId="40" fillId="62" borderId="0" applyBorder="0">
      <alignment horizontal="left" vertical="center" indent="1"/>
    </xf>
    <xf numFmtId="0" fontId="40" fillId="62" borderId="0" applyBorder="0">
      <alignment horizontal="left" vertical="center" indent="1"/>
    </xf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61" borderId="19" applyNumberFormat="0" applyAlignment="0" applyProtection="0"/>
    <xf numFmtId="0" fontId="41" fillId="61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5" fillId="0" borderId="0"/>
    <xf numFmtId="0" fontId="4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83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34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90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91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2" fontId="34" fillId="0" borderId="0" applyFont="0" applyFill="0" applyBorder="0" applyAlignment="0" applyProtection="0"/>
    <xf numFmtId="192" fontId="5" fillId="0" borderId="0" applyFont="0" applyFill="0" applyBorder="0" applyAlignment="0" applyProtection="0"/>
    <xf numFmtId="185" fontId="34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9" fillId="0" borderId="0" applyNumberFormat="0">
      <alignment horizontal="left"/>
    </xf>
    <xf numFmtId="0" fontId="39" fillId="0" borderId="21" applyNumberFormat="0" applyBorder="0">
      <alignment horizontal="right"/>
    </xf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4" fillId="0" borderId="22" applyNumberFormat="0" applyFill="0" applyProtection="0">
      <alignment horizontal="right" vertical="center"/>
    </xf>
    <xf numFmtId="37" fontId="55" fillId="63" borderId="23" applyBorder="0">
      <alignment horizontal="left" vertical="center" indent="1"/>
    </xf>
    <xf numFmtId="37" fontId="56" fillId="0" borderId="24" applyFill="0">
      <alignment vertical="center"/>
    </xf>
    <xf numFmtId="181" fontId="56" fillId="64" borderId="25" applyNumberFormat="0">
      <alignment horizontal="left" vertical="top" indent="1"/>
    </xf>
    <xf numFmtId="0" fontId="56" fillId="64" borderId="25" applyNumberFormat="0">
      <alignment horizontal="left" vertical="top" indent="1"/>
    </xf>
    <xf numFmtId="181" fontId="56" fillId="61" borderId="0" applyBorder="0">
      <alignment horizontal="left" vertical="center" indent="1"/>
    </xf>
    <xf numFmtId="0" fontId="56" fillId="61" borderId="0" applyBorder="0">
      <alignment horizontal="left" vertical="center" indent="1"/>
    </xf>
    <xf numFmtId="181" fontId="56" fillId="0" borderId="25" applyNumberFormat="0" applyFill="0">
      <alignment horizontal="centerContinuous" vertical="top"/>
    </xf>
    <xf numFmtId="0" fontId="56" fillId="0" borderId="25" applyNumberFormat="0" applyFill="0">
      <alignment horizontal="centerContinuous" vertical="top"/>
    </xf>
    <xf numFmtId="181" fontId="57" fillId="61" borderId="26" applyNumberFormat="0" applyBorder="0">
      <alignment horizontal="left" vertical="center" indent="1"/>
    </xf>
    <xf numFmtId="0" fontId="57" fillId="61" borderId="26" applyNumberFormat="0" applyBorder="0">
      <alignment horizontal="left" vertical="center" indent="1"/>
    </xf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182" fontId="21" fillId="0" borderId="30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3" fillId="0" borderId="32" applyNumberFormat="0" applyFill="0" applyAlignment="0" applyProtection="0"/>
    <xf numFmtId="0" fontId="63" fillId="0" borderId="32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5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50" borderId="19" applyNumberFormat="0" applyAlignment="0" applyProtection="0"/>
    <xf numFmtId="0" fontId="70" fillId="50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181" fontId="40" fillId="48" borderId="0">
      <alignment horizontal="right"/>
    </xf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1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5" fillId="0" borderId="0"/>
    <xf numFmtId="0" fontId="0" fillId="0" borderId="0"/>
    <xf numFmtId="193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185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76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18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185" fontId="0" fillId="0" borderId="0"/>
    <xf numFmtId="0" fontId="46" fillId="0" borderId="0"/>
    <xf numFmtId="185" fontId="0" fillId="0" borderId="0"/>
    <xf numFmtId="185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76" fillId="0" borderId="0"/>
    <xf numFmtId="194" fontId="5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5" fillId="0" borderId="0"/>
    <xf numFmtId="194" fontId="5" fillId="0" borderId="0"/>
    <xf numFmtId="37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4" fillId="0" borderId="0"/>
    <xf numFmtId="185" fontId="5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8" fillId="0" borderId="0"/>
    <xf numFmtId="181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9" fillId="0" borderId="0"/>
    <xf numFmtId="0" fontId="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77" fillId="0" borderId="0"/>
    <xf numFmtId="185" fontId="0" fillId="0" borderId="0"/>
    <xf numFmtId="185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5" fillId="0" borderId="0"/>
    <xf numFmtId="0" fontId="78" fillId="0" borderId="0"/>
    <xf numFmtId="18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48" fillId="0" borderId="0"/>
    <xf numFmtId="185" fontId="5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6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93" fontId="7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9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46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0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74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4" fillId="0" borderId="0"/>
    <xf numFmtId="182" fontId="5" fillId="0" borderId="0"/>
    <xf numFmtId="0" fontId="0" fillId="0" borderId="0"/>
    <xf numFmtId="0" fontId="46" fillId="0" borderId="0"/>
    <xf numFmtId="182" fontId="5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0" fillId="0" borderId="0"/>
    <xf numFmtId="0" fontId="5" fillId="0" borderId="0"/>
    <xf numFmtId="185" fontId="5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189" fontId="0" fillId="0" borderId="0"/>
    <xf numFmtId="181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0" fontId="80" fillId="0" borderId="0">
      <alignment vertical="center"/>
    </xf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185" fontId="5" fillId="0" borderId="0"/>
    <xf numFmtId="0" fontId="76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7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0" fontId="46" fillId="0" borderId="0"/>
    <xf numFmtId="0" fontId="49" fillId="0" borderId="0"/>
    <xf numFmtId="0" fontId="5" fillId="0" borderId="0"/>
    <xf numFmtId="0" fontId="5" fillId="0" borderId="0"/>
    <xf numFmtId="181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74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3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95" fontId="74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5" fontId="0" fillId="0" borderId="0"/>
    <xf numFmtId="185" fontId="5" fillId="0" borderId="0"/>
    <xf numFmtId="185" fontId="0" fillId="0" borderId="0"/>
    <xf numFmtId="182" fontId="0" fillId="0" borderId="0"/>
    <xf numFmtId="185" fontId="0" fillId="0" borderId="0"/>
    <xf numFmtId="185" fontId="0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5" fillId="0" borderId="0"/>
    <xf numFmtId="185" fontId="5" fillId="0" borderId="0"/>
    <xf numFmtId="0" fontId="0" fillId="0" borderId="0"/>
    <xf numFmtId="185" fontId="0" fillId="0" borderId="0"/>
    <xf numFmtId="185" fontId="5" fillId="0" borderId="0"/>
    <xf numFmtId="182" fontId="0" fillId="0" borderId="0"/>
    <xf numFmtId="185" fontId="5" fillId="0" borderId="0"/>
    <xf numFmtId="185" fontId="5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0" fontId="5" fillId="0" borderId="0"/>
    <xf numFmtId="0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185" fontId="5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95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45" fillId="40" borderId="34" applyNumberFormat="0" applyFont="0" applyAlignment="0" applyProtection="0"/>
    <xf numFmtId="0" fontId="45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0" fillId="2" borderId="8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61" borderId="35" applyNumberFormat="0" applyAlignment="0" applyProtection="0"/>
    <xf numFmtId="0" fontId="83" fillId="61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2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40" fontId="81" fillId="61" borderId="0">
      <alignment horizontal="right"/>
    </xf>
    <xf numFmtId="0" fontId="84" fillId="40" borderId="0">
      <alignment horizontal="center"/>
    </xf>
    <xf numFmtId="0" fontId="85" fillId="65" borderId="36"/>
    <xf numFmtId="0" fontId="86" fillId="0" borderId="0" applyBorder="0">
      <alignment horizontal="centerContinuous"/>
    </xf>
    <xf numFmtId="0" fontId="87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1" fillId="0" borderId="0" applyFont="0" applyFill="0" applyBorder="0" applyAlignment="0" applyProtection="0"/>
    <xf numFmtId="181" fontId="89" fillId="62" borderId="0">
      <alignment horizontal="left" indent="1"/>
    </xf>
    <xf numFmtId="0" fontId="89" fillId="62" borderId="0">
      <alignment horizontal="left" indent="1"/>
    </xf>
    <xf numFmtId="0" fontId="90" fillId="66" borderId="16" applyBorder="0">
      <alignment horizontal="center" vertical="center" wrapText="1"/>
    </xf>
    <xf numFmtId="0" fontId="90" fillId="67" borderId="16" applyBorder="0">
      <alignment horizontal="center" vertical="center" wrapText="1"/>
    </xf>
    <xf numFmtId="0" fontId="90" fillId="68" borderId="16" applyBorder="0">
      <alignment horizontal="center" vertical="center" wrapText="1"/>
    </xf>
    <xf numFmtId="0" fontId="91" fillId="69" borderId="16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181" fontId="93" fillId="62" borderId="0" applyBorder="0">
      <alignment horizontal="left" vertical="center" indent="1"/>
    </xf>
    <xf numFmtId="0" fontId="93" fillId="62" borderId="0" applyBorder="0">
      <alignment horizontal="left" vertical="center" indent="1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8" applyNumberFormat="0" applyFill="0" applyAlignment="0" applyProtection="0"/>
    <xf numFmtId="0" fontId="96" fillId="0" borderId="38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2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2" fillId="0" borderId="0" applyNumberFormat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49" fillId="0" borderId="0"/>
    <xf numFmtId="0" fontId="0" fillId="0" borderId="0">
      <alignment vertical="center"/>
    </xf>
    <xf numFmtId="0" fontId="99" fillId="0" borderId="0"/>
  </cellStyleXfs>
  <cellXfs count="19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8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83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7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7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7" fontId="3" fillId="0" borderId="0" xfId="0" applyNumberFormat="1" applyFont="1" applyFill="1" applyBorder="1" applyAlignment="1">
      <alignment horizontal="right" vertical="top" indent="5"/>
    </xf>
    <xf numFmtId="187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7" fontId="3" fillId="0" borderId="0" xfId="0" applyNumberFormat="1" applyFont="1" applyFill="1" applyBorder="1" applyAlignment="1">
      <alignment horizontal="right" vertical="top" wrapText="1"/>
    </xf>
    <xf numFmtId="187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7" fontId="3" fillId="0" borderId="0" xfId="0" applyNumberFormat="1" applyFont="1" applyFill="1" applyBorder="1" applyAlignment="1">
      <alignment horizontal="center" vertical="top" wrapText="1"/>
    </xf>
    <xf numFmtId="187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7" fontId="11" fillId="0" borderId="0" xfId="0" applyNumberFormat="1" applyFont="1" applyFill="1" applyBorder="1" applyAlignment="1">
      <alignment horizontal="center" vertical="top"/>
    </xf>
    <xf numFmtId="187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7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87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187" fontId="3" fillId="0" borderId="0" xfId="0" applyNumberFormat="1" applyFont="1" applyFill="1" applyBorder="1" applyAlignment="1">
      <alignment horizontal="right" vertical="top" wrapText="1" indent="4"/>
    </xf>
    <xf numFmtId="187" fontId="5" fillId="0" borderId="0" xfId="0" applyNumberFormat="1" applyFont="1" applyFill="1" applyBorder="1" applyAlignment="1">
      <alignment horizontal="right" vertical="top" wrapText="1" indent="4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88" fontId="3" fillId="0" borderId="7" xfId="1" applyNumberFormat="1" applyFont="1" applyFill="1" applyBorder="1" applyAlignment="1">
      <alignment horizontal="right" vertical="center"/>
    </xf>
    <xf numFmtId="188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8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8" fontId="3" fillId="0" borderId="6" xfId="1" applyNumberFormat="1" applyFont="1" applyFill="1" applyBorder="1" applyAlignment="1">
      <alignment horizontal="right" vertical="center"/>
    </xf>
    <xf numFmtId="188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9" fontId="12" fillId="0" borderId="0" xfId="1" applyNumberFormat="1" applyFont="1" applyAlignment="1">
      <alignment vertical="top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2" fillId="0" borderId="0" xfId="0" applyFont="1" applyBorder="1"/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187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5" xfId="0" applyFont="1" applyFill="1" applyBorder="1" applyAlignment="1">
      <alignment vertical="top" wrapText="1"/>
    </xf>
    <xf numFmtId="2" fontId="5" fillId="0" borderId="5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7" fontId="5" fillId="0" borderId="0" xfId="1" applyNumberFormat="1" applyFont="1" applyFill="1" applyBorder="1" applyAlignment="1">
      <alignment vertical="center"/>
    </xf>
    <xf numFmtId="197" fontId="8" fillId="0" borderId="0" xfId="1" applyNumberFormat="1" applyFont="1" applyFill="1" applyAlignment="1">
      <alignment vertical="center"/>
    </xf>
    <xf numFmtId="187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Border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7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7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7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Border="1" applyAlignment="1">
      <alignment horizontal="right" vertical="top" wrapText="1" indent="3"/>
    </xf>
    <xf numFmtId="187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188" fontId="5" fillId="0" borderId="0" xfId="0" applyNumberFormat="1" applyFont="1" applyBorder="1" applyAlignment="1">
      <alignment vertical="top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right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externalLink" Target="externalLinks/externalLink13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Jadual_ByState_0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ajuk"/>
      <sheetName val="Master"/>
      <sheetName val="Jadual 1"/>
      <sheetName val="Jadual 2 &amp; 3"/>
      <sheetName val="Jadual 4-6"/>
      <sheetName val="Jadual 7"/>
      <sheetName val="Jadual 8"/>
      <sheetName val="Jadual 9"/>
      <sheetName val="Jadual 10"/>
      <sheetName val="Jadual 11 &amp; 12"/>
      <sheetName val="Jadual 13"/>
      <sheetName val="Jadual 13a"/>
      <sheetName val="Jadual 14 &amp; 15"/>
    </sheetNames>
    <sheetDataSet>
      <sheetData sheetId="0"/>
      <sheetData sheetId="1">
        <row r="1">
          <cell r="A1">
            <v>2023</v>
          </cell>
        </row>
        <row r="2">
          <cell r="A2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view="pageBreakPreview" zoomScale="78" zoomScaleNormal="100" workbookViewId="0">
      <selection activeCell="L7" sqref="L7"/>
    </sheetView>
  </sheetViews>
  <sheetFormatPr defaultColWidth="9" defaultRowHeight="15" outlineLevelCol="7"/>
  <cols>
    <col min="1" max="1" width="35.7142857142857" style="2" customWidth="1"/>
    <col min="2" max="8" width="7.71428571428571" style="2" customWidth="1"/>
    <col min="9" max="16384" width="9" style="2"/>
  </cols>
  <sheetData>
    <row r="1" customHeight="1" spans="1:8">
      <c r="A1" s="108" t="s">
        <v>0</v>
      </c>
      <c r="B1" s="183"/>
      <c r="C1" s="183"/>
      <c r="D1" s="183"/>
      <c r="E1" s="183"/>
      <c r="F1" s="183"/>
      <c r="G1" s="183"/>
      <c r="H1" s="183"/>
    </row>
    <row r="2" customHeight="1" spans="1:8">
      <c r="A2" s="109" t="s">
        <v>1</v>
      </c>
      <c r="B2" s="184"/>
      <c r="C2" s="184"/>
      <c r="D2" s="184"/>
      <c r="E2" s="184"/>
      <c r="F2" s="184"/>
      <c r="G2" s="184"/>
      <c r="H2" s="184"/>
    </row>
    <row r="3" ht="6" customHeight="1" spans="1:8">
      <c r="A3" s="185"/>
      <c r="B3" s="186"/>
      <c r="C3" s="186"/>
      <c r="D3" s="186"/>
      <c r="E3" s="186"/>
      <c r="F3" s="186"/>
      <c r="G3" s="186"/>
      <c r="H3" s="186"/>
    </row>
    <row r="4" ht="30" customHeight="1" spans="1:8">
      <c r="A4" s="8" t="s">
        <v>2</v>
      </c>
      <c r="B4" s="187">
        <v>2018</v>
      </c>
      <c r="C4" s="187">
        <v>2019</v>
      </c>
      <c r="D4" s="187">
        <v>2020</v>
      </c>
      <c r="E4" s="187">
        <v>2021</v>
      </c>
      <c r="F4" s="187">
        <v>2022</v>
      </c>
      <c r="G4" s="187">
        <v>2023</v>
      </c>
      <c r="H4" s="187">
        <v>2024</v>
      </c>
    </row>
    <row r="5" ht="30" customHeight="1" spans="1:7">
      <c r="A5" s="30"/>
      <c r="B5" s="188"/>
      <c r="C5" s="188"/>
      <c r="D5" s="188"/>
      <c r="E5" s="188"/>
      <c r="F5" s="189"/>
      <c r="G5" s="189"/>
    </row>
    <row r="6" ht="51" customHeight="1" spans="1:8">
      <c r="A6" s="67" t="s">
        <v>3</v>
      </c>
      <c r="B6" s="190">
        <v>4001.39520678238</v>
      </c>
      <c r="C6" s="190">
        <v>4800.04103126423</v>
      </c>
      <c r="D6" s="190">
        <v>1555.12261713697</v>
      </c>
      <c r="E6" s="190">
        <v>477.222127559975</v>
      </c>
      <c r="F6" s="190">
        <v>2586.22406280686</v>
      </c>
      <c r="G6" s="190">
        <v>3228.385093431</v>
      </c>
      <c r="H6" s="190">
        <v>4540.61133613717</v>
      </c>
    </row>
    <row r="7" ht="51" customHeight="1" spans="1:8">
      <c r="A7" s="67" t="s">
        <v>4</v>
      </c>
      <c r="B7" s="191">
        <v>10.1201143736319</v>
      </c>
      <c r="C7" s="191">
        <v>19.9591838148889</v>
      </c>
      <c r="D7" s="191">
        <v>-67.6018890878651</v>
      </c>
      <c r="E7" s="191">
        <v>-69.312893896524</v>
      </c>
      <c r="F7" s="191">
        <v>441.932972812925</v>
      </c>
      <c r="G7" s="191">
        <v>24.830061704986</v>
      </c>
      <c r="H7" s="191">
        <v>40.6465215496206</v>
      </c>
    </row>
    <row r="8" ht="51" customHeight="1" spans="1:8">
      <c r="A8" s="67" t="s">
        <v>5</v>
      </c>
      <c r="B8" s="190">
        <v>9846.12343577341</v>
      </c>
      <c r="C8" s="190">
        <v>10985.6520100096</v>
      </c>
      <c r="D8" s="190">
        <v>6058.183</v>
      </c>
      <c r="E8" s="190">
        <v>1920.93</v>
      </c>
      <c r="F8" s="190">
        <v>6627.155</v>
      </c>
      <c r="G8" s="190">
        <v>7549.37</v>
      </c>
      <c r="H8" s="190">
        <v>10514.411</v>
      </c>
    </row>
    <row r="9" ht="51" customHeight="1" spans="1:8">
      <c r="A9" s="67" t="s">
        <v>4</v>
      </c>
      <c r="B9" s="191">
        <v>2.31158961167619</v>
      </c>
      <c r="C9" s="191">
        <v>11.5733728270763</v>
      </c>
      <c r="D9" s="191">
        <v>-44.8536782843652</v>
      </c>
      <c r="E9" s="191">
        <v>-68.291977974254</v>
      </c>
      <c r="F9" s="191">
        <v>244.997214890704</v>
      </c>
      <c r="G9" s="191">
        <v>13.9156998742296</v>
      </c>
      <c r="H9" s="191">
        <v>39.2753435054846</v>
      </c>
    </row>
    <row r="10" ht="51" customHeight="1" spans="1:8">
      <c r="A10" s="67" t="s">
        <v>6</v>
      </c>
      <c r="B10" s="190">
        <v>14237.523885532</v>
      </c>
      <c r="C10" s="190">
        <v>15911.2787640876</v>
      </c>
      <c r="D10" s="190">
        <v>6568.194</v>
      </c>
      <c r="E10" s="190">
        <v>1971.69</v>
      </c>
      <c r="F10" s="190">
        <v>8783.75</v>
      </c>
      <c r="G10" s="190">
        <v>9299.793</v>
      </c>
      <c r="H10" s="190">
        <v>12463.79</v>
      </c>
    </row>
    <row r="11" ht="51" customHeight="1" spans="1:8">
      <c r="A11" s="67" t="s">
        <v>4</v>
      </c>
      <c r="B11" s="191">
        <v>10.3595776313512</v>
      </c>
      <c r="C11" s="191">
        <v>11.7559407942869</v>
      </c>
      <c r="D11" s="191">
        <v>-58.7198860796489</v>
      </c>
      <c r="E11" s="191">
        <v>-69.9812459863396</v>
      </c>
      <c r="F11" s="191">
        <v>345.493459925242</v>
      </c>
      <c r="G11" s="191">
        <v>5.87497367297567</v>
      </c>
      <c r="H11" s="191">
        <v>34.0222303872785</v>
      </c>
    </row>
    <row r="12" ht="51" customHeight="1" spans="1:8">
      <c r="A12" s="67" t="s">
        <v>7</v>
      </c>
      <c r="B12" s="190">
        <v>406.392955855532</v>
      </c>
      <c r="C12" s="190">
        <v>436.937291194975</v>
      </c>
      <c r="D12" s="190">
        <v>256.697860915884</v>
      </c>
      <c r="E12" s="190">
        <v>248.432856772488</v>
      </c>
      <c r="F12" s="190">
        <v>390.246502881984</v>
      </c>
      <c r="G12" s="190">
        <v>427.636358190286</v>
      </c>
      <c r="H12" s="190">
        <v>431.846475864142</v>
      </c>
    </row>
    <row r="13" ht="51" customHeight="1" spans="1:8">
      <c r="A13" s="67" t="s">
        <v>4</v>
      </c>
      <c r="B13" s="191">
        <v>7.63210188757004</v>
      </c>
      <c r="C13" s="191">
        <v>7.51596082051706</v>
      </c>
      <c r="D13" s="191">
        <v>-41.2506402889431</v>
      </c>
      <c r="E13" s="191">
        <v>-3.21974016998308</v>
      </c>
      <c r="F13" s="191">
        <v>57.0832892041198</v>
      </c>
      <c r="G13" s="191">
        <v>9.58108657788772</v>
      </c>
      <c r="H13" s="191">
        <v>0.984508822325769</v>
      </c>
    </row>
    <row r="14" ht="51" customHeight="1" spans="1:8">
      <c r="A14" s="67" t="s">
        <v>8</v>
      </c>
      <c r="B14" s="190">
        <v>281.045723888025</v>
      </c>
      <c r="C14" s="190">
        <v>301.675377726278</v>
      </c>
      <c r="D14" s="190">
        <v>236.765634074902</v>
      </c>
      <c r="E14" s="190">
        <v>242.037098915131</v>
      </c>
      <c r="F14" s="190">
        <v>294.432794968762</v>
      </c>
      <c r="G14" s="190">
        <v>347.145908885391</v>
      </c>
      <c r="H14" s="190">
        <v>364.304223365218</v>
      </c>
    </row>
    <row r="15" ht="51" customHeight="1" spans="1:8">
      <c r="A15" s="67" t="s">
        <v>4</v>
      </c>
      <c r="B15" s="191">
        <v>-0.216984572484746</v>
      </c>
      <c r="C15" s="191">
        <v>7.34031941595108</v>
      </c>
      <c r="D15" s="191">
        <v>-21.5164207767301</v>
      </c>
      <c r="E15" s="191">
        <v>2.22644847121747</v>
      </c>
      <c r="F15" s="191">
        <v>21.6477954365183</v>
      </c>
      <c r="G15" s="191">
        <v>17.9032753203398</v>
      </c>
      <c r="H15" s="191">
        <v>4.9426808845072</v>
      </c>
    </row>
    <row r="16" ht="51" customHeight="1" spans="1:8">
      <c r="A16" s="67" t="s">
        <v>9</v>
      </c>
      <c r="B16" s="191">
        <v>2.8804999196926</v>
      </c>
      <c r="C16" s="191">
        <v>3.00996244733286</v>
      </c>
      <c r="D16" s="191">
        <v>1.85860052110295</v>
      </c>
      <c r="E16" s="191">
        <v>3.13854552971283</v>
      </c>
      <c r="F16" s="191">
        <v>3.15837090332652</v>
      </c>
      <c r="G16" s="191">
        <v>3.07348440786154</v>
      </c>
      <c r="H16" s="191">
        <v>2.98185888956928</v>
      </c>
    </row>
    <row r="17" ht="51" customHeight="1" spans="1:8">
      <c r="A17" s="67" t="s">
        <v>4</v>
      </c>
      <c r="B17" s="191">
        <v>-2.07875785857499</v>
      </c>
      <c r="C17" s="191">
        <v>4.49444649365154</v>
      </c>
      <c r="D17" s="191">
        <v>-38.251704012126</v>
      </c>
      <c r="E17" s="191">
        <v>68.8660631522002</v>
      </c>
      <c r="F17" s="191">
        <v>0.631673921120512</v>
      </c>
      <c r="G17" s="191">
        <v>-2.68766709367713</v>
      </c>
      <c r="H17" s="191">
        <v>-2.98116099297251</v>
      </c>
    </row>
    <row r="18" customHeight="1" spans="1:8">
      <c r="A18" s="118"/>
      <c r="B18" s="192"/>
      <c r="C18" s="192"/>
      <c r="D18" s="192"/>
      <c r="E18" s="192"/>
      <c r="F18" s="192"/>
      <c r="G18" s="192"/>
      <c r="H18" s="192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x3bDCsgmZCtCd6UQctAQOopJnK9kQVqQCO8ghuVTMe6F8c+a0QfZViq0QJ8rHhrHYOFlBYP00X8cL65VtsLIGw==" saltValue="r9R5JCwgisY2DH9jEPl3Hw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82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20"/>
      <c r="C1" s="120"/>
      <c r="D1" s="120"/>
      <c r="E1" s="120"/>
    </row>
    <row r="2" customHeight="1" spans="1:5">
      <c r="A2" s="4" t="s">
        <v>11</v>
      </c>
      <c r="B2" s="121"/>
      <c r="C2" s="121"/>
      <c r="D2" s="121"/>
      <c r="E2" s="121"/>
    </row>
    <row r="3" ht="6" customHeight="1" spans="1:5">
      <c r="A3" s="122"/>
      <c r="B3" s="124"/>
      <c r="C3" s="124"/>
      <c r="D3" s="124"/>
      <c r="E3" s="124"/>
    </row>
    <row r="4" customHeight="1" spans="1:5">
      <c r="A4" s="8" t="s">
        <v>12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69">
        <v>100</v>
      </c>
      <c r="C7" s="154">
        <v>7549.37</v>
      </c>
      <c r="D7" s="169">
        <v>100</v>
      </c>
      <c r="E7" s="154">
        <v>10514.411</v>
      </c>
    </row>
    <row r="8" ht="55.5" customHeight="1" spans="1:5">
      <c r="A8" s="40" t="s">
        <v>16</v>
      </c>
      <c r="B8" s="170">
        <v>45.8790998454176</v>
      </c>
      <c r="C8" s="171">
        <v>3463.583</v>
      </c>
      <c r="D8" s="170">
        <v>44.2310177907255</v>
      </c>
      <c r="E8" s="171">
        <v>4650.631</v>
      </c>
    </row>
    <row r="9" ht="55.5" customHeight="1" spans="1:5">
      <c r="A9" s="40" t="s">
        <v>17</v>
      </c>
      <c r="B9" s="170">
        <v>54.1209001545824</v>
      </c>
      <c r="C9" s="171">
        <v>4085.787</v>
      </c>
      <c r="D9" s="170">
        <v>55.7689822092745</v>
      </c>
      <c r="E9" s="171">
        <v>5863.78</v>
      </c>
    </row>
    <row r="10" customHeight="1" spans="1:5">
      <c r="A10" s="30"/>
      <c r="B10" s="172"/>
      <c r="C10" s="172"/>
      <c r="D10" s="173"/>
      <c r="E10" s="172"/>
    </row>
    <row r="11" customHeight="1" spans="1:5">
      <c r="A11" s="174"/>
      <c r="B11" s="175"/>
      <c r="C11" s="175"/>
      <c r="D11" s="175"/>
      <c r="E11" s="175"/>
    </row>
    <row r="12" customHeight="1" spans="1:5">
      <c r="A12" s="27"/>
      <c r="B12" s="176"/>
      <c r="C12" s="176"/>
      <c r="D12" s="176"/>
      <c r="E12" s="176"/>
    </row>
    <row r="13" customHeight="1" spans="1:5">
      <c r="A13" s="27"/>
      <c r="B13" s="176"/>
      <c r="C13" s="176"/>
      <c r="D13" s="176"/>
      <c r="E13" s="176"/>
    </row>
    <row r="14" customHeight="1" spans="1:5">
      <c r="A14" s="23" t="s">
        <v>18</v>
      </c>
      <c r="B14" s="177"/>
      <c r="C14" s="177"/>
      <c r="D14" s="177"/>
      <c r="E14" s="177"/>
    </row>
    <row r="15" customHeight="1" spans="1:5">
      <c r="A15" s="24" t="s">
        <v>19</v>
      </c>
      <c r="B15" s="178"/>
      <c r="C15" s="178"/>
      <c r="D15" s="178"/>
      <c r="E15" s="178"/>
    </row>
    <row r="16" ht="6" customHeight="1" spans="1:5">
      <c r="A16" s="179"/>
      <c r="B16" s="180"/>
      <c r="C16" s="180"/>
      <c r="D16" s="180"/>
      <c r="E16" s="180"/>
    </row>
    <row r="17" customHeight="1" spans="1:5">
      <c r="A17" s="127" t="s">
        <v>20</v>
      </c>
      <c r="B17" s="127">
        <v>2023</v>
      </c>
      <c r="C17" s="127"/>
      <c r="D17" s="127">
        <v>2024</v>
      </c>
      <c r="E17" s="127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22"/>
      <c r="B19" s="143"/>
      <c r="C19" s="143"/>
      <c r="D19" s="5"/>
      <c r="E19" s="28"/>
    </row>
    <row r="20" ht="55.5" customHeight="1" spans="1:5">
      <c r="A20" s="35" t="s">
        <v>15</v>
      </c>
      <c r="B20" s="169">
        <v>100</v>
      </c>
      <c r="C20" s="154">
        <v>9299.793</v>
      </c>
      <c r="D20" s="169">
        <v>100</v>
      </c>
      <c r="E20" s="154">
        <v>12463.79</v>
      </c>
    </row>
    <row r="21" ht="55.5" customHeight="1" spans="1:5">
      <c r="A21" s="40" t="s">
        <v>21</v>
      </c>
      <c r="B21" s="170">
        <v>48.1684807393025</v>
      </c>
      <c r="C21" s="171">
        <v>4479.569</v>
      </c>
      <c r="D21" s="170">
        <v>50.892673897747</v>
      </c>
      <c r="E21" s="171">
        <v>6343.156</v>
      </c>
    </row>
    <row r="22" ht="55.5" customHeight="1" spans="1:5">
      <c r="A22" s="40" t="s">
        <v>22</v>
      </c>
      <c r="B22" s="170">
        <v>51.8315192606975</v>
      </c>
      <c r="C22" s="171">
        <v>4820.224</v>
      </c>
      <c r="D22" s="170">
        <v>49.107326102253</v>
      </c>
      <c r="E22" s="171">
        <v>6120.634</v>
      </c>
    </row>
    <row r="23" customHeight="1" spans="1:5">
      <c r="A23" s="179"/>
      <c r="B23" s="180"/>
      <c r="C23" s="180"/>
      <c r="D23" s="180"/>
      <c r="E23" s="180"/>
    </row>
    <row r="24" ht="15.75" customHeight="1" spans="1:1">
      <c r="A24" s="1"/>
    </row>
    <row r="25" spans="1:1">
      <c r="A25" s="1"/>
    </row>
    <row r="26" spans="1:5">
      <c r="A26" s="1"/>
      <c r="C26" s="181">
        <v>1.23186345350672</v>
      </c>
      <c r="E26" s="181">
        <v>1.18540068483151</v>
      </c>
    </row>
    <row r="27" spans="1:5">
      <c r="A27" s="1"/>
      <c r="E27" s="182">
        <v>-3.77174666095813</v>
      </c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qSsUy/qxaWLpfx2nWjbako/KmNff3R+W6n+XByvhx5hMUU73vRAw5uh1r2hzSW7Z5VuskWk1pfUWWPKN123R2w==" saltValue="sKrOeNla69UBgmZ+rmyAXg==" spinCount="10000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="78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6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48">
        <v>100</v>
      </c>
      <c r="C7" s="147">
        <v>3228.385093431</v>
      </c>
      <c r="D7" s="148">
        <v>100</v>
      </c>
      <c r="E7" s="147">
        <v>4540.61133613717</v>
      </c>
    </row>
    <row r="8" ht="17.25" customHeight="1" spans="1:5">
      <c r="A8" s="40" t="s">
        <v>28</v>
      </c>
      <c r="B8" s="152">
        <v>26.1473492981047</v>
      </c>
      <c r="C8" s="153">
        <v>844.137127067346</v>
      </c>
      <c r="D8" s="152">
        <v>26.2194427314165</v>
      </c>
      <c r="E8" s="153">
        <v>1190.52298893469</v>
      </c>
    </row>
    <row r="9" ht="17.25" customHeight="1" spans="1:5">
      <c r="A9" s="40" t="s">
        <v>29</v>
      </c>
      <c r="B9" s="152">
        <v>73.8526507018953</v>
      </c>
      <c r="C9" s="153">
        <v>2384.24796636365</v>
      </c>
      <c r="D9" s="152">
        <v>73.7805572685835</v>
      </c>
      <c r="E9" s="153">
        <v>3350.08834720248</v>
      </c>
    </row>
    <row r="10" ht="9" customHeight="1" spans="1:5">
      <c r="A10" s="47"/>
      <c r="B10" s="35"/>
      <c r="C10" s="35"/>
      <c r="D10" s="23"/>
      <c r="E10" s="154"/>
    </row>
    <row r="11" ht="17.25" customHeight="1" spans="1:5">
      <c r="A11" s="47"/>
      <c r="B11" s="47"/>
      <c r="C11" s="155" t="s">
        <v>30</v>
      </c>
      <c r="D11" s="47"/>
      <c r="E11" s="155" t="s">
        <v>30</v>
      </c>
    </row>
    <row r="12" ht="17.25" customHeight="1" spans="1:5">
      <c r="A12" s="35" t="s">
        <v>27</v>
      </c>
      <c r="B12" s="35"/>
      <c r="C12" s="35"/>
      <c r="D12" s="46"/>
      <c r="E12" s="156"/>
    </row>
    <row r="13" ht="32.25" customHeight="1" spans="1:5">
      <c r="A13" s="40" t="s">
        <v>31</v>
      </c>
      <c r="B13" s="67"/>
      <c r="C13" s="153">
        <v>188.44159495419</v>
      </c>
      <c r="D13" s="46"/>
      <c r="E13" s="153">
        <v>187.686222589306</v>
      </c>
    </row>
    <row r="14" ht="32.25" customHeight="1" spans="1:5">
      <c r="A14" s="40" t="s">
        <v>32</v>
      </c>
      <c r="B14" s="67"/>
      <c r="C14" s="153">
        <v>494.634267279622</v>
      </c>
      <c r="D14" s="46"/>
      <c r="E14" s="153">
        <v>547.343354822798</v>
      </c>
    </row>
    <row r="15" ht="7.5" customHeight="1" spans="1:5">
      <c r="A15" s="82"/>
      <c r="B15" s="82"/>
      <c r="C15" s="82"/>
      <c r="D15" s="82"/>
      <c r="E15" s="82"/>
    </row>
    <row r="16" customHeight="1" spans="1:5">
      <c r="A16" s="157"/>
      <c r="B16" s="157"/>
      <c r="C16" s="157"/>
      <c r="D16" s="157"/>
      <c r="E16" s="157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6" customHeight="1" spans="1:5">
      <c r="A19" s="158"/>
      <c r="B19" s="62"/>
      <c r="C19" s="62"/>
      <c r="D19" s="62"/>
      <c r="E19" s="62"/>
    </row>
    <row r="20" customHeight="1" spans="1:5">
      <c r="A20" s="155" t="s">
        <v>35</v>
      </c>
      <c r="B20" s="127">
        <v>2023</v>
      </c>
      <c r="C20" s="127"/>
      <c r="D20" s="127">
        <v>2024</v>
      </c>
      <c r="E20" s="127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17.25" customHeight="1" spans="1:5">
      <c r="A23" s="77" t="s">
        <v>36</v>
      </c>
      <c r="B23" s="159">
        <v>9299.793</v>
      </c>
      <c r="C23" s="160"/>
      <c r="D23" s="159">
        <v>12463.79</v>
      </c>
      <c r="E23" s="160"/>
    </row>
    <row r="24" ht="17.25" customHeight="1" spans="1:5">
      <c r="A24" s="80" t="s">
        <v>37</v>
      </c>
      <c r="B24" s="159">
        <v>1856.94394815578</v>
      </c>
      <c r="C24" s="160"/>
      <c r="D24" s="159">
        <v>658.47</v>
      </c>
      <c r="E24" s="160"/>
    </row>
    <row r="25" ht="17.25" customHeight="1" spans="1:5">
      <c r="A25" s="161" t="s">
        <v>38</v>
      </c>
      <c r="B25" s="162">
        <v>465.937846218353</v>
      </c>
      <c r="C25" s="163"/>
      <c r="D25" s="162">
        <v>299.107</v>
      </c>
      <c r="E25" s="163"/>
    </row>
    <row r="26" ht="17.25" customHeight="1" spans="1:5">
      <c r="A26" s="161" t="s">
        <v>39</v>
      </c>
      <c r="B26" s="162">
        <v>1391.00610193743</v>
      </c>
      <c r="C26" s="163"/>
      <c r="D26" s="162">
        <v>359.363</v>
      </c>
      <c r="E26" s="163"/>
    </row>
    <row r="27" ht="17.25" customHeight="1" spans="1:5">
      <c r="A27" s="80" t="s">
        <v>40</v>
      </c>
      <c r="B27" s="159">
        <v>7442.84905184422</v>
      </c>
      <c r="C27" s="160"/>
      <c r="D27" s="159">
        <v>11805.32</v>
      </c>
      <c r="E27" s="160"/>
    </row>
    <row r="28" ht="17.25" customHeight="1" spans="1:5">
      <c r="A28" s="161" t="s">
        <v>38</v>
      </c>
      <c r="B28" s="162">
        <v>4013.63115378165</v>
      </c>
      <c r="C28" s="163"/>
      <c r="D28" s="162">
        <v>6044.049</v>
      </c>
      <c r="E28" s="163"/>
    </row>
    <row r="29" ht="17.25" customHeight="1" spans="1:5">
      <c r="A29" s="161" t="s">
        <v>39</v>
      </c>
      <c r="B29" s="162">
        <v>3429.21789806257</v>
      </c>
      <c r="C29" s="163"/>
      <c r="D29" s="162">
        <v>5761.271</v>
      </c>
      <c r="E29" s="163"/>
    </row>
    <row r="30" ht="7.5" customHeight="1" spans="1:5">
      <c r="A30" s="155"/>
      <c r="B30" s="61"/>
      <c r="C30" s="61"/>
      <c r="D30" s="61"/>
      <c r="E30" s="16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6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2023</v>
      </c>
      <c r="C35" s="8"/>
      <c r="D35" s="8">
        <v>2024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77" t="s">
        <v>9</v>
      </c>
      <c r="B37" s="165">
        <v>3.07348440786154</v>
      </c>
      <c r="C37" s="165"/>
      <c r="D37" s="165">
        <v>2.98185888956928</v>
      </c>
      <c r="E37" s="165"/>
    </row>
    <row r="38" ht="7.5" customHeight="1" spans="1:5">
      <c r="A38" s="166"/>
      <c r="B38" s="166"/>
      <c r="C38" s="167"/>
      <c r="D38" s="166"/>
      <c r="E38" s="167"/>
    </row>
    <row r="39" ht="27.75" customHeight="1" spans="1:5">
      <c r="A39" s="77" t="s">
        <v>43</v>
      </c>
      <c r="B39" s="159">
        <v>4820.224</v>
      </c>
      <c r="C39" s="160"/>
      <c r="D39" s="159">
        <v>6120.634</v>
      </c>
      <c r="E39" s="160"/>
    </row>
    <row r="40" ht="7.5" customHeight="1" spans="1:5">
      <c r="A40" s="168"/>
      <c r="B40" s="168"/>
      <c r="C40" s="167"/>
      <c r="D40" s="159"/>
      <c r="E40" s="160"/>
    </row>
    <row r="41" ht="27.75" customHeight="1" spans="1:5">
      <c r="A41" s="77" t="s">
        <v>44</v>
      </c>
      <c r="B41" s="159">
        <v>14814.8833064</v>
      </c>
      <c r="C41" s="160"/>
      <c r="D41" s="159">
        <v>18250.8669027</v>
      </c>
      <c r="E41" s="160"/>
    </row>
    <row r="42" ht="7.5" customHeight="1" spans="1:5">
      <c r="A42" s="155"/>
      <c r="B42" s="61"/>
      <c r="C42" s="61"/>
      <c r="D42" s="61"/>
      <c r="E42" s="164"/>
    </row>
    <row r="43" ht="9" customHeight="1" spans="1:5">
      <c r="A43" s="65"/>
      <c r="B43" s="43"/>
      <c r="C43" s="43"/>
      <c r="D43" s="43"/>
      <c r="E43" s="43"/>
    </row>
  </sheetData>
  <sheetProtection algorithmName="SHA-512" hashValue="cio7ZwuhMadDqbBfjM8W7gnDk/Cj7BZWtLEsH5fP9qhCRVyA6H4uRfsyH6IiqG0SEuhNyD+P5iy4Wk228jkvVw==" saltValue="xscGYj8CJM50tPOY01llhA==" spinCount="10000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75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ht="6" customHeight="1" spans="1:5">
      <c r="A3" s="122"/>
      <c r="B3" s="122"/>
      <c r="C3" s="143"/>
      <c r="D3" s="143"/>
      <c r="E3" s="27"/>
    </row>
    <row r="4" customHeight="1" spans="1:5">
      <c r="A4" s="8" t="s">
        <v>47</v>
      </c>
      <c r="B4" s="144">
        <v>2023</v>
      </c>
      <c r="C4" s="144">
        <v>2024</v>
      </c>
      <c r="D4" s="144">
        <v>2023</v>
      </c>
      <c r="E4" s="144">
        <v>2024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45">
        <v>2789747.45790799</v>
      </c>
      <c r="C7" s="145">
        <v>3955722.70504418</v>
      </c>
      <c r="D7" s="78">
        <v>86.4130943853158</v>
      </c>
      <c r="E7" s="78">
        <v>87.1187250395544</v>
      </c>
    </row>
    <row r="8" ht="60" customHeight="1" spans="1:5">
      <c r="A8" s="40" t="s">
        <v>50</v>
      </c>
      <c r="B8" s="146">
        <v>1003375.53048698</v>
      </c>
      <c r="C8" s="146">
        <v>1392099.51991479</v>
      </c>
      <c r="D8" s="81">
        <v>31.0797969092539</v>
      </c>
      <c r="E8" s="81">
        <v>30.658856635351</v>
      </c>
    </row>
    <row r="9" ht="60" customHeight="1" spans="1:5">
      <c r="A9" s="40" t="s">
        <v>51</v>
      </c>
      <c r="B9" s="146">
        <v>604358.191997612</v>
      </c>
      <c r="C9" s="146">
        <v>760737.094882469</v>
      </c>
      <c r="D9" s="81">
        <v>18.7201394662408</v>
      </c>
      <c r="E9" s="81">
        <v>16.7540676478522</v>
      </c>
    </row>
    <row r="10" ht="60" customHeight="1" spans="1:5">
      <c r="A10" s="80" t="s">
        <v>52</v>
      </c>
      <c r="B10" s="146">
        <v>211088.228827605</v>
      </c>
      <c r="C10" s="146">
        <v>322821.266120521</v>
      </c>
      <c r="D10" s="81">
        <v>6.53850834762928</v>
      </c>
      <c r="E10" s="81">
        <v>7.10964322251713</v>
      </c>
    </row>
    <row r="11" ht="60" customHeight="1" spans="1:5">
      <c r="A11" s="80" t="s">
        <v>53</v>
      </c>
      <c r="B11" s="146">
        <v>531882.658089821</v>
      </c>
      <c r="C11" s="146">
        <v>803350.736459402</v>
      </c>
      <c r="D11" s="81">
        <v>16.4751924784957</v>
      </c>
      <c r="E11" s="81">
        <v>17.6925677400708</v>
      </c>
    </row>
    <row r="12" ht="60" customHeight="1" spans="1:5">
      <c r="A12" s="80" t="s">
        <v>54</v>
      </c>
      <c r="B12" s="146">
        <v>316649.27514187</v>
      </c>
      <c r="C12" s="146">
        <v>430561.126699681</v>
      </c>
      <c r="D12" s="81">
        <v>9.80828699110825</v>
      </c>
      <c r="E12" s="81">
        <v>9.48244839352341</v>
      </c>
    </row>
    <row r="13" ht="90" customHeight="1" spans="1:5">
      <c r="A13" s="80" t="s">
        <v>55</v>
      </c>
      <c r="B13" s="146">
        <v>23127.304706161</v>
      </c>
      <c r="C13" s="146">
        <v>84728.5136015558</v>
      </c>
      <c r="D13" s="81">
        <v>0.716373791751784</v>
      </c>
      <c r="E13" s="81">
        <v>1.86601555009191</v>
      </c>
    </row>
    <row r="14" ht="60" customHeight="1" spans="1:5">
      <c r="A14" s="40" t="s">
        <v>56</v>
      </c>
      <c r="B14" s="146">
        <v>99266.2686579418</v>
      </c>
      <c r="C14" s="146">
        <v>161424.447365759</v>
      </c>
      <c r="D14" s="81">
        <v>3.07479640083599</v>
      </c>
      <c r="E14" s="81">
        <v>3.55512585014791</v>
      </c>
    </row>
    <row r="15" ht="60" customHeight="1" spans="1:5">
      <c r="A15" s="35" t="s">
        <v>57</v>
      </c>
      <c r="B15" s="147">
        <v>438637.635523004</v>
      </c>
      <c r="C15" s="147">
        <v>584888.631092993</v>
      </c>
      <c r="D15" s="148">
        <v>13.5869056146842</v>
      </c>
      <c r="E15" s="148">
        <v>12.8812749604456</v>
      </c>
    </row>
    <row r="16" ht="36" customHeight="1" spans="1:5">
      <c r="A16" s="29" t="s">
        <v>58</v>
      </c>
      <c r="B16" s="149">
        <v>3228385.09343099</v>
      </c>
      <c r="C16" s="149">
        <v>4540611.33613717</v>
      </c>
      <c r="D16" s="150">
        <v>100</v>
      </c>
      <c r="E16" s="150">
        <v>100</v>
      </c>
    </row>
    <row r="17" customHeight="1" spans="1:1">
      <c r="A17" s="1"/>
    </row>
    <row r="18" spans="1:4">
      <c r="A18" s="1"/>
      <c r="C18" s="151"/>
      <c r="D18" s="15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abhusRz+qIiEBO1buQSVRovgqZPKB464+CJM0/gy2forpnSMiyC+qyRzeOmdBnuOf/KbhT9aPmwJBHIwlJcMaA==" saltValue="7bGprWkkHWp/Jaxj5bZOKg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77" zoomScaleNormal="100" workbookViewId="0">
      <selection activeCell="A1" sqref="A1:F1"/>
    </sheetView>
  </sheetViews>
  <sheetFormatPr defaultColWidth="9" defaultRowHeight="15" outlineLevelCol="5"/>
  <cols>
    <col min="1" max="1" width="0.857142857142857" style="119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23" t="s">
        <v>59</v>
      </c>
      <c r="B1" s="120"/>
      <c r="C1" s="120"/>
      <c r="D1" s="120"/>
      <c r="E1" s="120"/>
      <c r="F1" s="120"/>
    </row>
    <row r="2" customHeight="1" spans="1:6">
      <c r="A2" s="24" t="s">
        <v>60</v>
      </c>
      <c r="B2" s="121"/>
      <c r="C2" s="121"/>
      <c r="D2" s="121"/>
      <c r="E2" s="121"/>
      <c r="F2" s="121"/>
    </row>
    <row r="3" ht="6" customHeight="1" spans="1:6">
      <c r="A3" s="122"/>
      <c r="B3" s="123"/>
      <c r="C3" s="124"/>
      <c r="D3" s="124"/>
      <c r="E3" s="124"/>
      <c r="F3" s="124"/>
    </row>
    <row r="4" ht="63" customHeight="1" spans="1:6">
      <c r="A4" s="13"/>
      <c r="B4" s="125" t="s">
        <v>61</v>
      </c>
      <c r="C4" s="125" t="s">
        <v>62</v>
      </c>
      <c r="D4" s="125"/>
      <c r="E4" s="125" t="s">
        <v>63</v>
      </c>
      <c r="F4" s="125" t="s">
        <v>62</v>
      </c>
    </row>
    <row r="5" customHeight="1" spans="1:6">
      <c r="A5" s="13"/>
      <c r="B5" s="126"/>
      <c r="C5" s="127"/>
      <c r="D5" s="127"/>
      <c r="E5" s="126"/>
      <c r="F5" s="127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28"/>
      <c r="B7" s="129" t="s">
        <v>64</v>
      </c>
      <c r="C7" s="130">
        <v>47.64</v>
      </c>
      <c r="D7" s="131"/>
      <c r="E7" s="129" t="s">
        <v>64</v>
      </c>
      <c r="F7" s="130">
        <v>61.2</v>
      </c>
    </row>
    <row r="8" ht="69" customHeight="1" spans="1:6">
      <c r="A8" s="128"/>
      <c r="B8" s="129" t="s">
        <v>65</v>
      </c>
      <c r="C8" s="130">
        <v>20.73</v>
      </c>
      <c r="D8" s="131"/>
      <c r="E8" s="129" t="s">
        <v>66</v>
      </c>
      <c r="F8" s="130">
        <v>15.05</v>
      </c>
    </row>
    <row r="9" ht="69" customHeight="1" spans="1:6">
      <c r="A9" s="132"/>
      <c r="B9" s="129" t="s">
        <v>66</v>
      </c>
      <c r="C9" s="130">
        <v>16.77</v>
      </c>
      <c r="D9" s="131"/>
      <c r="E9" s="129" t="s">
        <v>65</v>
      </c>
      <c r="F9" s="130">
        <v>13.03</v>
      </c>
    </row>
    <row r="10" ht="69" customHeight="1" spans="1:6">
      <c r="A10" s="132"/>
      <c r="B10" s="129" t="s">
        <v>67</v>
      </c>
      <c r="C10" s="130">
        <v>9.3</v>
      </c>
      <c r="D10" s="131"/>
      <c r="E10" s="129" t="s">
        <v>67</v>
      </c>
      <c r="F10" s="130">
        <v>6.32</v>
      </c>
    </row>
    <row r="11" ht="69" customHeight="1" spans="1:6">
      <c r="A11" s="132"/>
      <c r="B11" s="129" t="s">
        <v>68</v>
      </c>
      <c r="C11" s="130">
        <v>2.22</v>
      </c>
      <c r="D11" s="131"/>
      <c r="E11" s="129" t="s">
        <v>69</v>
      </c>
      <c r="F11" s="130">
        <v>2.6</v>
      </c>
    </row>
    <row r="12" ht="69" customHeight="1" spans="1:6">
      <c r="A12" s="132"/>
      <c r="B12" s="129" t="s">
        <v>69</v>
      </c>
      <c r="C12" s="130">
        <v>2.09</v>
      </c>
      <c r="D12" s="131"/>
      <c r="E12" s="129" t="s">
        <v>70</v>
      </c>
      <c r="F12" s="130">
        <v>1.28</v>
      </c>
    </row>
    <row r="13" ht="69" customHeight="1" spans="1:6">
      <c r="A13" s="132"/>
      <c r="B13" s="129" t="s">
        <v>70</v>
      </c>
      <c r="C13" s="130">
        <v>0.68</v>
      </c>
      <c r="D13" s="131"/>
      <c r="E13" s="129" t="s">
        <v>71</v>
      </c>
      <c r="F13" s="130">
        <v>0.4</v>
      </c>
    </row>
    <row r="14" ht="69" customHeight="1" spans="1:6">
      <c r="A14" s="132"/>
      <c r="B14" s="129" t="s">
        <v>71</v>
      </c>
      <c r="C14" s="130">
        <v>0.57</v>
      </c>
      <c r="D14" s="131"/>
      <c r="E14" s="129" t="s">
        <v>68</v>
      </c>
      <c r="F14" s="130">
        <v>0.12</v>
      </c>
    </row>
    <row r="15" ht="6" customHeight="1" spans="1:6">
      <c r="A15" s="131"/>
      <c r="B15" s="131"/>
      <c r="C15" s="133"/>
      <c r="D15" s="131"/>
      <c r="E15" s="131"/>
      <c r="F15" s="133"/>
    </row>
    <row r="16" ht="6" customHeight="1" spans="1:6">
      <c r="A16" s="131"/>
      <c r="B16" s="134"/>
      <c r="C16" s="135"/>
      <c r="D16" s="134"/>
      <c r="E16" s="134"/>
      <c r="F16" s="135"/>
    </row>
    <row r="17" ht="33" customHeight="1" spans="1:6">
      <c r="A17" s="35"/>
      <c r="B17" s="61" t="s">
        <v>15</v>
      </c>
      <c r="C17" s="136">
        <v>100</v>
      </c>
      <c r="D17" s="41"/>
      <c r="E17" s="41"/>
      <c r="F17" s="136">
        <v>100</v>
      </c>
    </row>
    <row r="18" spans="1:1">
      <c r="A18" s="13"/>
    </row>
    <row r="19" spans="1:4">
      <c r="A19" s="13"/>
      <c r="D19" s="137"/>
    </row>
    <row r="20" spans="1:1">
      <c r="A20" s="13"/>
    </row>
    <row r="21" spans="1:2">
      <c r="A21" s="138"/>
      <c r="B21" s="139"/>
    </row>
    <row r="22" spans="1:3">
      <c r="A22" s="138"/>
      <c r="B22" s="139"/>
      <c r="C22" s="140"/>
    </row>
    <row r="23" spans="1:3">
      <c r="A23" s="138"/>
      <c r="B23" s="139"/>
      <c r="C23" s="140"/>
    </row>
    <row r="24" spans="1:2">
      <c r="A24" s="138"/>
      <c r="B24" s="139"/>
    </row>
    <row r="25" spans="1:2">
      <c r="A25" s="138"/>
      <c r="B25" s="139"/>
    </row>
    <row r="26" spans="1:2">
      <c r="A26" s="138"/>
      <c r="B26" s="139"/>
    </row>
    <row r="27" spans="1:3">
      <c r="A27" s="138"/>
      <c r="B27" s="139"/>
      <c r="C27" s="140"/>
    </row>
    <row r="28" spans="1:2">
      <c r="A28" s="138"/>
      <c r="B28" s="139"/>
    </row>
    <row r="29" spans="1:2">
      <c r="A29" s="138"/>
      <c r="B29" s="139"/>
    </row>
    <row r="30" spans="1:3">
      <c r="A30" s="138"/>
      <c r="B30" s="139"/>
      <c r="C30" s="140"/>
    </row>
    <row r="31" spans="1:2">
      <c r="A31" s="138"/>
      <c r="B31" s="139"/>
    </row>
    <row r="32" spans="1:2">
      <c r="A32" s="138"/>
      <c r="B32" s="139"/>
    </row>
    <row r="33" spans="1:3">
      <c r="A33" s="141"/>
      <c r="B33" s="142"/>
      <c r="C33" s="140"/>
    </row>
  </sheetData>
  <sheetProtection algorithmName="SHA-512" hashValue="lGfTHcT9lzZVDgcZcjG4WEEA1H+FMkQCoH9FsPAE+1jargvZ2rOxW+qN1lmXXASHpKz93dtlAUQkzNAs77F6bw==" saltValue="EHOKxcksZmNyUUogliy0+Q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07">
        <v>34</v>
      </c>
      <c r="B1" s="1"/>
      <c r="C1" s="108" t="s">
        <v>72</v>
      </c>
      <c r="D1" s="108"/>
      <c r="E1" s="108"/>
      <c r="F1" s="108"/>
    </row>
    <row r="2" customHeight="1" spans="1:6">
      <c r="A2" s="107"/>
      <c r="B2" s="1"/>
      <c r="C2" s="109" t="s">
        <v>73</v>
      </c>
      <c r="D2" s="109"/>
      <c r="E2" s="109"/>
      <c r="F2" s="109"/>
    </row>
    <row r="3" ht="6" customHeight="1" spans="1:6">
      <c r="A3" s="107"/>
      <c r="B3" s="1"/>
      <c r="C3" s="110"/>
      <c r="D3" s="110"/>
      <c r="E3" s="110"/>
      <c r="F3" s="110"/>
    </row>
    <row r="4" ht="45" customHeight="1" spans="1:6">
      <c r="A4" s="107"/>
      <c r="B4" s="1"/>
      <c r="C4" s="8" t="s">
        <v>61</v>
      </c>
      <c r="D4" s="111"/>
      <c r="E4" s="8" t="s">
        <v>63</v>
      </c>
      <c r="F4" s="111"/>
    </row>
    <row r="5" ht="22.5" customHeight="1" spans="1:6">
      <c r="A5" s="107"/>
      <c r="B5" s="1"/>
      <c r="C5" s="8">
        <v>2023</v>
      </c>
      <c r="D5" s="112">
        <v>2024</v>
      </c>
      <c r="E5" s="8">
        <v>2023</v>
      </c>
      <c r="F5" s="112">
        <v>2024</v>
      </c>
    </row>
    <row r="6" ht="6" customHeight="1" spans="1:6">
      <c r="A6" s="107"/>
      <c r="B6" s="1"/>
      <c r="C6" s="113"/>
      <c r="D6" s="114"/>
      <c r="E6" s="113"/>
      <c r="F6" s="114"/>
    </row>
    <row r="7" ht="60" customHeight="1" spans="1:6">
      <c r="A7" s="107"/>
      <c r="B7" s="1"/>
      <c r="C7" s="115" t="s">
        <v>74</v>
      </c>
      <c r="D7" s="115" t="s">
        <v>75</v>
      </c>
      <c r="E7" s="115" t="s">
        <v>76</v>
      </c>
      <c r="F7" s="115" t="s">
        <v>77</v>
      </c>
    </row>
    <row r="8" ht="60" customHeight="1" spans="1:6">
      <c r="A8" s="107"/>
      <c r="B8" s="1"/>
      <c r="C8" s="115" t="s">
        <v>78</v>
      </c>
      <c r="D8" s="115" t="s">
        <v>77</v>
      </c>
      <c r="E8" s="115" t="s">
        <v>79</v>
      </c>
      <c r="F8" s="115" t="s">
        <v>80</v>
      </c>
    </row>
    <row r="9" ht="60" customHeight="1" spans="1:6">
      <c r="A9" s="107"/>
      <c r="B9" s="1"/>
      <c r="C9" s="115" t="s">
        <v>81</v>
      </c>
      <c r="D9" s="115" t="s">
        <v>82</v>
      </c>
      <c r="E9" s="115" t="s">
        <v>78</v>
      </c>
      <c r="F9" s="115" t="s">
        <v>75</v>
      </c>
    </row>
    <row r="10" ht="60" customHeight="1" spans="1:6">
      <c r="A10" s="107"/>
      <c r="B10" s="1"/>
      <c r="C10" s="115" t="s">
        <v>83</v>
      </c>
      <c r="D10" s="115" t="s">
        <v>84</v>
      </c>
      <c r="E10" s="115" t="s">
        <v>81</v>
      </c>
      <c r="F10" s="115" t="s">
        <v>85</v>
      </c>
    </row>
    <row r="11" ht="60" customHeight="1" spans="1:6">
      <c r="A11" s="107"/>
      <c r="B11" s="1"/>
      <c r="C11" s="115" t="s">
        <v>86</v>
      </c>
      <c r="D11" s="115" t="s">
        <v>87</v>
      </c>
      <c r="E11" s="115" t="s">
        <v>88</v>
      </c>
      <c r="F11" s="115" t="s">
        <v>82</v>
      </c>
    </row>
    <row r="12" ht="6" customHeight="1" spans="1:6">
      <c r="A12" s="107"/>
      <c r="B12" s="1"/>
      <c r="C12" s="116"/>
      <c r="D12" s="117"/>
      <c r="E12" s="116"/>
      <c r="F12" s="118"/>
    </row>
    <row r="13" customHeight="1" spans="1:6">
      <c r="A13" s="107"/>
      <c r="B13" s="1"/>
      <c r="C13" s="1"/>
      <c r="D13" s="1"/>
      <c r="E13" s="1"/>
      <c r="F13" s="1"/>
    </row>
    <row r="14" customHeight="1" spans="1:6">
      <c r="A14" s="107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Ge0J/uNEH94CEnUxP1UapZvPaN8H4Bk98ehpVAsntR5o/kbh+LQF0EWCamYtQ+B310zN0VZJkwVNKvfoGZCvTw==" saltValue="VPx0Sugx6J5UoncjhDkh1w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showGridLines="0" view="pageBreakPreview" zoomScale="87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16384" width="9" style="2"/>
  </cols>
  <sheetData>
    <row r="1" customHeight="1" spans="1:20">
      <c r="A1" s="1"/>
      <c r="B1" s="86"/>
      <c r="C1" s="87" t="s">
        <v>89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1:20">
      <c r="A2" s="1"/>
      <c r="C2" s="88" t="s">
        <v>90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ht="6" customHeight="1" spans="1:20">
      <c r="A3" s="1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18" customHeight="1" spans="1:20">
      <c r="A4" s="90">
        <v>35</v>
      </c>
      <c r="B4" s="91"/>
      <c r="C4" s="92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</row>
    <row r="5" ht="18" customHeight="1" spans="1:20">
      <c r="A5" s="90"/>
      <c r="B5" s="91"/>
      <c r="C5" s="8" t="s">
        <v>91</v>
      </c>
      <c r="D5" s="93" t="s">
        <v>92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ht="6" customHeight="1" spans="1:20">
      <c r="A6" s="90"/>
      <c r="B6" s="91"/>
      <c r="C6" s="7"/>
      <c r="D6" s="94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</row>
    <row r="7" ht="82.5" customHeight="1" spans="1:20">
      <c r="A7" s="90"/>
      <c r="B7" s="91"/>
      <c r="C7" s="7"/>
      <c r="D7" s="96" t="s">
        <v>93</v>
      </c>
      <c r="E7" s="97" t="s">
        <v>94</v>
      </c>
      <c r="F7" s="97" t="s">
        <v>95</v>
      </c>
      <c r="G7" s="97" t="s">
        <v>96</v>
      </c>
      <c r="H7" s="97" t="s">
        <v>97</v>
      </c>
      <c r="I7" s="97" t="s">
        <v>98</v>
      </c>
      <c r="J7" s="97" t="s">
        <v>99</v>
      </c>
      <c r="K7" s="97" t="s">
        <v>100</v>
      </c>
      <c r="L7" s="97" t="s">
        <v>101</v>
      </c>
      <c r="M7" s="97" t="s">
        <v>102</v>
      </c>
      <c r="N7" s="97" t="s">
        <v>103</v>
      </c>
      <c r="O7" s="97" t="s">
        <v>104</v>
      </c>
      <c r="P7" s="97" t="s">
        <v>105</v>
      </c>
      <c r="Q7" s="97" t="s">
        <v>106</v>
      </c>
      <c r="R7" s="97" t="s">
        <v>107</v>
      </c>
      <c r="S7" s="97" t="s">
        <v>108</v>
      </c>
      <c r="T7" s="97" t="s">
        <v>109</v>
      </c>
    </row>
    <row r="8" ht="27" customHeight="1" spans="1:20">
      <c r="A8" s="90"/>
      <c r="B8" s="91"/>
      <c r="C8" s="30" t="s">
        <v>93</v>
      </c>
      <c r="D8" s="98">
        <v>93445.323</v>
      </c>
      <c r="E8" s="99">
        <v>9481.062</v>
      </c>
      <c r="F8" s="99">
        <v>6854.418</v>
      </c>
      <c r="G8" s="99">
        <v>5863.78</v>
      </c>
      <c r="H8" s="99">
        <v>6158.368</v>
      </c>
      <c r="I8" s="99">
        <v>5987.543</v>
      </c>
      <c r="J8" s="99">
        <v>9525.838</v>
      </c>
      <c r="K8" s="99">
        <v>4766.021</v>
      </c>
      <c r="L8" s="99">
        <v>10208.952</v>
      </c>
      <c r="M8" s="99">
        <v>1262.039</v>
      </c>
      <c r="N8" s="99">
        <v>9574.385</v>
      </c>
      <c r="O8" s="99">
        <v>4918.404</v>
      </c>
      <c r="P8" s="99">
        <v>6081.485</v>
      </c>
      <c r="Q8" s="99">
        <v>5701.034</v>
      </c>
      <c r="R8" s="99">
        <v>6216.3</v>
      </c>
      <c r="S8" s="99">
        <v>194.1</v>
      </c>
      <c r="T8" s="99">
        <v>651.594</v>
      </c>
    </row>
    <row r="9" ht="27" customHeight="1" spans="1:20">
      <c r="A9" s="90"/>
      <c r="B9" s="91"/>
      <c r="C9" s="100" t="s">
        <v>94</v>
      </c>
      <c r="D9" s="98">
        <v>11279.798</v>
      </c>
      <c r="E9" s="101">
        <v>3704.714</v>
      </c>
      <c r="F9" s="101">
        <v>196.667</v>
      </c>
      <c r="G9" s="101">
        <v>425.275</v>
      </c>
      <c r="H9" s="101">
        <v>1528.012</v>
      </c>
      <c r="I9" s="101">
        <v>616.968</v>
      </c>
      <c r="J9" s="101">
        <v>919.966</v>
      </c>
      <c r="K9" s="101">
        <v>221.252</v>
      </c>
      <c r="L9" s="101">
        <v>403.301</v>
      </c>
      <c r="M9" s="101">
        <v>95.567</v>
      </c>
      <c r="N9" s="101">
        <v>1746.841</v>
      </c>
      <c r="O9" s="101">
        <v>188.495</v>
      </c>
      <c r="P9" s="101">
        <v>168.943</v>
      </c>
      <c r="Q9" s="101">
        <v>209.896</v>
      </c>
      <c r="R9" s="101">
        <v>787.645</v>
      </c>
      <c r="S9" s="101">
        <v>13.35</v>
      </c>
      <c r="T9" s="101">
        <v>52.906</v>
      </c>
    </row>
    <row r="10" ht="27" customHeight="1" spans="1:20">
      <c r="A10" s="90"/>
      <c r="B10" s="91"/>
      <c r="C10" s="100" t="s">
        <v>95</v>
      </c>
      <c r="D10" s="98">
        <v>4850.245</v>
      </c>
      <c r="E10" s="101">
        <v>133.108</v>
      </c>
      <c r="F10" s="101">
        <v>1787.51</v>
      </c>
      <c r="G10" s="101">
        <v>276.209</v>
      </c>
      <c r="H10" s="101">
        <v>96.196</v>
      </c>
      <c r="I10" s="101">
        <v>233.341</v>
      </c>
      <c r="J10" s="101">
        <v>248.758</v>
      </c>
      <c r="K10" s="101">
        <v>450.051</v>
      </c>
      <c r="L10" s="101">
        <v>723.289</v>
      </c>
      <c r="M10" s="101">
        <v>130.848</v>
      </c>
      <c r="N10" s="101">
        <v>297.097</v>
      </c>
      <c r="O10" s="101">
        <v>61.22</v>
      </c>
      <c r="P10" s="101">
        <v>32.865</v>
      </c>
      <c r="Q10" s="101">
        <v>30.214</v>
      </c>
      <c r="R10" s="101">
        <v>254.91</v>
      </c>
      <c r="S10" s="101">
        <v>7.133</v>
      </c>
      <c r="T10" s="101">
        <v>87.496</v>
      </c>
    </row>
    <row r="11" ht="27" customHeight="1" spans="1:20">
      <c r="A11" s="90"/>
      <c r="B11" s="91"/>
      <c r="C11" s="100" t="s">
        <v>96</v>
      </c>
      <c r="D11" s="98">
        <v>3115.736</v>
      </c>
      <c r="E11" s="101">
        <v>115.899</v>
      </c>
      <c r="F11" s="101">
        <v>132.209</v>
      </c>
      <c r="G11" s="101">
        <v>977.965</v>
      </c>
      <c r="H11" s="101">
        <v>8.592</v>
      </c>
      <c r="I11" s="101">
        <v>106.131</v>
      </c>
      <c r="J11" s="101">
        <v>251.898</v>
      </c>
      <c r="K11" s="101">
        <v>146.896</v>
      </c>
      <c r="L11" s="101">
        <v>221.977</v>
      </c>
      <c r="M11" s="101">
        <v>34.466</v>
      </c>
      <c r="N11" s="101">
        <v>259.034</v>
      </c>
      <c r="O11" s="101">
        <v>496.82</v>
      </c>
      <c r="P11" s="101">
        <v>28.812</v>
      </c>
      <c r="Q11" s="101">
        <v>3.6</v>
      </c>
      <c r="R11" s="101">
        <v>232.399</v>
      </c>
      <c r="S11" s="101">
        <v>3.283</v>
      </c>
      <c r="T11" s="101">
        <v>95.755</v>
      </c>
    </row>
    <row r="12" ht="27" customHeight="1" spans="1:20">
      <c r="A12" s="90"/>
      <c r="B12" s="91"/>
      <c r="C12" s="100" t="s">
        <v>97</v>
      </c>
      <c r="D12" s="98">
        <v>2989.787</v>
      </c>
      <c r="E12" s="101">
        <v>459.072</v>
      </c>
      <c r="F12" s="101">
        <v>122.587</v>
      </c>
      <c r="G12" s="101">
        <v>79.537</v>
      </c>
      <c r="H12" s="101">
        <v>266.106</v>
      </c>
      <c r="I12" s="101">
        <v>379.134</v>
      </c>
      <c r="J12" s="101">
        <v>254.647</v>
      </c>
      <c r="K12" s="101">
        <v>106.225</v>
      </c>
      <c r="L12" s="101">
        <v>259.154</v>
      </c>
      <c r="M12" s="101">
        <v>3.154</v>
      </c>
      <c r="N12" s="101">
        <v>378.083</v>
      </c>
      <c r="O12" s="101">
        <v>74.915</v>
      </c>
      <c r="P12" s="101">
        <v>78.204</v>
      </c>
      <c r="Q12" s="101">
        <v>27.792</v>
      </c>
      <c r="R12" s="101">
        <v>458.258</v>
      </c>
      <c r="S12" s="101">
        <v>1.593</v>
      </c>
      <c r="T12" s="101">
        <v>41.326</v>
      </c>
    </row>
    <row r="13" ht="27" customHeight="1" spans="1:20">
      <c r="A13" s="90"/>
      <c r="B13" s="91"/>
      <c r="C13" s="100" t="s">
        <v>98</v>
      </c>
      <c r="D13" s="98">
        <v>3608.271</v>
      </c>
      <c r="E13" s="101">
        <v>464.774</v>
      </c>
      <c r="F13" s="101">
        <v>71.578</v>
      </c>
      <c r="G13" s="101">
        <v>258.247</v>
      </c>
      <c r="H13" s="101">
        <v>359.632</v>
      </c>
      <c r="I13" s="101">
        <v>714.607</v>
      </c>
      <c r="J13" s="101">
        <v>459.935</v>
      </c>
      <c r="K13" s="101">
        <v>140.479</v>
      </c>
      <c r="L13" s="101">
        <v>315.022</v>
      </c>
      <c r="M13" s="101">
        <v>18.34</v>
      </c>
      <c r="N13" s="101">
        <v>351.433</v>
      </c>
      <c r="O13" s="101">
        <v>136.393</v>
      </c>
      <c r="P13" s="101">
        <v>8.786</v>
      </c>
      <c r="Q13" s="101">
        <v>9.935</v>
      </c>
      <c r="R13" s="101">
        <v>256.05</v>
      </c>
      <c r="S13" s="101">
        <v>6.764</v>
      </c>
      <c r="T13" s="101">
        <v>36.296</v>
      </c>
    </row>
    <row r="14" ht="27" customHeight="1" spans="1:20">
      <c r="A14" s="90"/>
      <c r="B14" s="91"/>
      <c r="C14" s="100" t="s">
        <v>99</v>
      </c>
      <c r="D14" s="98">
        <v>5744.966</v>
      </c>
      <c r="E14" s="101">
        <v>538.802</v>
      </c>
      <c r="F14" s="101">
        <v>122.385</v>
      </c>
      <c r="G14" s="101">
        <v>474.376</v>
      </c>
      <c r="H14" s="101">
        <v>134.318</v>
      </c>
      <c r="I14" s="101">
        <v>221.144</v>
      </c>
      <c r="J14" s="101">
        <v>1981.222</v>
      </c>
      <c r="K14" s="101">
        <v>119.939</v>
      </c>
      <c r="L14" s="101">
        <v>489.012</v>
      </c>
      <c r="M14" s="101">
        <v>25.78</v>
      </c>
      <c r="N14" s="101">
        <v>383.805</v>
      </c>
      <c r="O14" s="101">
        <v>686.073</v>
      </c>
      <c r="P14" s="101">
        <v>61.941</v>
      </c>
      <c r="Q14" s="101">
        <v>8.744</v>
      </c>
      <c r="R14" s="101">
        <v>467.78</v>
      </c>
      <c r="S14" s="101">
        <v>5.887</v>
      </c>
      <c r="T14" s="101">
        <v>23.758</v>
      </c>
    </row>
    <row r="15" ht="27" customHeight="1" spans="1:20">
      <c r="A15" s="90"/>
      <c r="B15" s="91"/>
      <c r="C15" s="100" t="s">
        <v>100</v>
      </c>
      <c r="D15" s="98">
        <v>4612.759</v>
      </c>
      <c r="E15" s="101">
        <v>124.816</v>
      </c>
      <c r="F15" s="101">
        <v>962.038</v>
      </c>
      <c r="G15" s="101">
        <v>4.76</v>
      </c>
      <c r="H15" s="101">
        <v>210.415</v>
      </c>
      <c r="I15" s="101">
        <v>67.787</v>
      </c>
      <c r="J15" s="101">
        <v>395.965</v>
      </c>
      <c r="K15" s="101">
        <v>523.113</v>
      </c>
      <c r="L15" s="101">
        <v>487.147</v>
      </c>
      <c r="M15" s="101">
        <v>216.419</v>
      </c>
      <c r="N15" s="101">
        <v>354.503</v>
      </c>
      <c r="O15" s="101">
        <v>489.885</v>
      </c>
      <c r="P15" s="101">
        <v>181.891</v>
      </c>
      <c r="Q15" s="101">
        <v>1.063</v>
      </c>
      <c r="R15" s="101">
        <v>539.031</v>
      </c>
      <c r="S15" s="101">
        <v>7.956</v>
      </c>
      <c r="T15" s="101">
        <v>45.97</v>
      </c>
    </row>
    <row r="16" ht="27" customHeight="1" spans="1:20">
      <c r="A16" s="90"/>
      <c r="B16" s="91"/>
      <c r="C16" s="100" t="s">
        <v>101</v>
      </c>
      <c r="D16" s="98">
        <v>6827.459</v>
      </c>
      <c r="E16" s="101">
        <v>282.367</v>
      </c>
      <c r="F16" s="101">
        <v>659.705</v>
      </c>
      <c r="G16" s="101">
        <v>245.397</v>
      </c>
      <c r="H16" s="101">
        <v>202.444</v>
      </c>
      <c r="I16" s="101">
        <v>186.796</v>
      </c>
      <c r="J16" s="101">
        <v>432.226</v>
      </c>
      <c r="K16" s="101">
        <v>384.443</v>
      </c>
      <c r="L16" s="101">
        <v>1886.966</v>
      </c>
      <c r="M16" s="101">
        <v>102.461</v>
      </c>
      <c r="N16" s="101">
        <v>1053.853</v>
      </c>
      <c r="O16" s="101">
        <v>256.269</v>
      </c>
      <c r="P16" s="101">
        <v>77.564</v>
      </c>
      <c r="Q16" s="101">
        <v>37.394</v>
      </c>
      <c r="R16" s="101">
        <v>909.009</v>
      </c>
      <c r="S16" s="101">
        <v>20.276</v>
      </c>
      <c r="T16" s="101">
        <v>90.289</v>
      </c>
    </row>
    <row r="17" ht="27" customHeight="1" spans="1:20">
      <c r="A17" s="90"/>
      <c r="B17" s="91"/>
      <c r="C17" s="100" t="s">
        <v>102</v>
      </c>
      <c r="D17" s="98">
        <v>933.185</v>
      </c>
      <c r="E17" s="101">
        <v>20.528</v>
      </c>
      <c r="F17" s="101">
        <v>238.573</v>
      </c>
      <c r="G17" s="101">
        <v>34.567</v>
      </c>
      <c r="H17" s="101">
        <v>6.776</v>
      </c>
      <c r="I17" s="101">
        <v>13.4</v>
      </c>
      <c r="J17" s="101">
        <v>75.115</v>
      </c>
      <c r="K17" s="101">
        <v>197.276</v>
      </c>
      <c r="L17" s="101">
        <v>97.427</v>
      </c>
      <c r="M17" s="101">
        <v>50.996</v>
      </c>
      <c r="N17" s="101">
        <v>73.087</v>
      </c>
      <c r="O17" s="101">
        <v>49.435</v>
      </c>
      <c r="P17" s="101">
        <v>4.239</v>
      </c>
      <c r="Q17" s="101">
        <v>3.126</v>
      </c>
      <c r="R17" s="101">
        <v>56.871</v>
      </c>
      <c r="S17" s="101">
        <v>0.808</v>
      </c>
      <c r="T17" s="101">
        <v>10.961</v>
      </c>
    </row>
    <row r="18" ht="27" customHeight="1" spans="1:20">
      <c r="A18" s="90"/>
      <c r="B18" s="91"/>
      <c r="C18" s="100" t="s">
        <v>103</v>
      </c>
      <c r="D18" s="98">
        <v>21506.181</v>
      </c>
      <c r="E18" s="101">
        <v>1837.846</v>
      </c>
      <c r="F18" s="101">
        <v>1793.603</v>
      </c>
      <c r="G18" s="101">
        <v>1365.974</v>
      </c>
      <c r="H18" s="101">
        <v>1698.792</v>
      </c>
      <c r="I18" s="101">
        <v>1524.26</v>
      </c>
      <c r="J18" s="101">
        <v>1636.986</v>
      </c>
      <c r="K18" s="101">
        <v>1199.166</v>
      </c>
      <c r="L18" s="101">
        <v>3336.198</v>
      </c>
      <c r="M18" s="101">
        <v>461.172</v>
      </c>
      <c r="N18" s="101">
        <v>2953.259</v>
      </c>
      <c r="O18" s="101">
        <v>973.553</v>
      </c>
      <c r="P18" s="101">
        <v>770.899</v>
      </c>
      <c r="Q18" s="101">
        <v>588.138</v>
      </c>
      <c r="R18" s="101">
        <v>1291.171</v>
      </c>
      <c r="S18" s="101">
        <v>9.719</v>
      </c>
      <c r="T18" s="101">
        <v>65.445</v>
      </c>
    </row>
    <row r="19" ht="27" customHeight="1" spans="1:20">
      <c r="A19" s="90"/>
      <c r="B19" s="91"/>
      <c r="C19" s="100" t="s">
        <v>104</v>
      </c>
      <c r="D19" s="98">
        <v>1574.314</v>
      </c>
      <c r="E19" s="101">
        <v>12.138</v>
      </c>
      <c r="F19" s="101">
        <v>7.925</v>
      </c>
      <c r="G19" s="101">
        <v>346.675</v>
      </c>
      <c r="H19" s="101">
        <v>10.535</v>
      </c>
      <c r="I19" s="101">
        <v>19.287</v>
      </c>
      <c r="J19" s="101">
        <v>293.872</v>
      </c>
      <c r="K19" s="101">
        <v>34.815</v>
      </c>
      <c r="L19" s="101">
        <v>19.12</v>
      </c>
      <c r="M19" s="101">
        <v>5.452</v>
      </c>
      <c r="N19" s="101">
        <v>224.869</v>
      </c>
      <c r="O19" s="101">
        <v>487.724</v>
      </c>
      <c r="P19" s="101">
        <v>26.825</v>
      </c>
      <c r="Q19" s="101">
        <v>2.747</v>
      </c>
      <c r="R19" s="101">
        <v>74.284</v>
      </c>
      <c r="S19" s="101">
        <v>5.041</v>
      </c>
      <c r="T19" s="101">
        <v>3.005</v>
      </c>
    </row>
    <row r="20" ht="26.25" customHeight="1" spans="1:20">
      <c r="A20" s="90"/>
      <c r="B20" s="91"/>
      <c r="C20" s="100" t="s">
        <v>105</v>
      </c>
      <c r="D20" s="98">
        <v>5323.449</v>
      </c>
      <c r="E20" s="101">
        <v>27.375</v>
      </c>
      <c r="F20" s="101">
        <v>34.294</v>
      </c>
      <c r="G20" s="101">
        <v>7.941</v>
      </c>
      <c r="H20" s="101">
        <v>28.095</v>
      </c>
      <c r="I20" s="101">
        <v>6.93</v>
      </c>
      <c r="J20" s="101">
        <v>11.471</v>
      </c>
      <c r="K20" s="101">
        <v>86.459</v>
      </c>
      <c r="L20" s="101">
        <v>5.995</v>
      </c>
      <c r="M20" s="101">
        <v>4.359</v>
      </c>
      <c r="N20" s="101">
        <v>200.936</v>
      </c>
      <c r="O20" s="101">
        <v>10.243</v>
      </c>
      <c r="P20" s="101">
        <v>4132.289</v>
      </c>
      <c r="Q20" s="101">
        <v>386.56</v>
      </c>
      <c r="R20" s="101">
        <v>277.914</v>
      </c>
      <c r="S20" s="101">
        <v>64.186</v>
      </c>
      <c r="T20" s="101">
        <v>38.402</v>
      </c>
    </row>
    <row r="21" ht="27" customHeight="1" spans="1:20">
      <c r="A21" s="90"/>
      <c r="B21" s="91"/>
      <c r="C21" s="100" t="s">
        <v>106</v>
      </c>
      <c r="D21" s="98">
        <v>5067.473</v>
      </c>
      <c r="E21" s="101">
        <v>41.45</v>
      </c>
      <c r="F21" s="101">
        <v>72.561</v>
      </c>
      <c r="G21" s="101">
        <v>23.379</v>
      </c>
      <c r="H21" s="101">
        <v>7.034</v>
      </c>
      <c r="I21" s="101">
        <v>8.098</v>
      </c>
      <c r="J21" s="101">
        <v>12.647</v>
      </c>
      <c r="K21" s="101">
        <v>41.88</v>
      </c>
      <c r="L21" s="101">
        <v>5.561</v>
      </c>
      <c r="M21" s="101">
        <v>13.178</v>
      </c>
      <c r="N21" s="101">
        <v>211.808</v>
      </c>
      <c r="O21" s="101">
        <v>22.411</v>
      </c>
      <c r="P21" s="101">
        <v>247.465</v>
      </c>
      <c r="Q21" s="101">
        <v>4055.785</v>
      </c>
      <c r="R21" s="101">
        <v>245.981</v>
      </c>
      <c r="S21" s="101">
        <v>27.314</v>
      </c>
      <c r="T21" s="101">
        <v>30.921</v>
      </c>
    </row>
    <row r="22" ht="27" customHeight="1" spans="1:20">
      <c r="A22" s="90"/>
      <c r="B22" s="91"/>
      <c r="C22" s="100" t="s">
        <v>107</v>
      </c>
      <c r="D22" s="98">
        <v>15233.52</v>
      </c>
      <c r="E22" s="101">
        <v>1689.695</v>
      </c>
      <c r="F22" s="101">
        <v>624.876</v>
      </c>
      <c r="G22" s="101">
        <v>1289.447</v>
      </c>
      <c r="H22" s="101">
        <v>1520.438</v>
      </c>
      <c r="I22" s="101">
        <v>1815.293</v>
      </c>
      <c r="J22" s="101">
        <v>2485.925</v>
      </c>
      <c r="K22" s="101">
        <v>1088.185</v>
      </c>
      <c r="L22" s="101">
        <v>1881.571</v>
      </c>
      <c r="M22" s="101">
        <v>97.851</v>
      </c>
      <c r="N22" s="101">
        <v>1026.36</v>
      </c>
      <c r="O22" s="101">
        <v>954.478</v>
      </c>
      <c r="P22" s="101">
        <v>105.983</v>
      </c>
      <c r="Q22" s="101">
        <v>304.533</v>
      </c>
      <c r="R22" s="101">
        <v>338.113</v>
      </c>
      <c r="S22" s="101">
        <v>3.966</v>
      </c>
      <c r="T22" s="101">
        <v>6.806</v>
      </c>
    </row>
    <row r="23" ht="27" customHeight="1" spans="1:20">
      <c r="A23" s="90"/>
      <c r="B23" s="91"/>
      <c r="C23" s="100" t="s">
        <v>108</v>
      </c>
      <c r="D23" s="98">
        <v>238.251</v>
      </c>
      <c r="E23" s="101">
        <v>0.087</v>
      </c>
      <c r="F23" s="101">
        <v>1.83</v>
      </c>
      <c r="G23" s="101">
        <v>1.902</v>
      </c>
      <c r="H23" s="101">
        <v>0.161</v>
      </c>
      <c r="I23" s="101">
        <v>1.308</v>
      </c>
      <c r="J23" s="101">
        <v>20.987</v>
      </c>
      <c r="K23" s="101">
        <v>0.498</v>
      </c>
      <c r="L23" s="101">
        <v>1.164</v>
      </c>
      <c r="M23" s="101">
        <v>0.642</v>
      </c>
      <c r="N23" s="101">
        <v>3.53</v>
      </c>
      <c r="O23" s="101">
        <v>1.782</v>
      </c>
      <c r="P23" s="101">
        <v>151.349</v>
      </c>
      <c r="Q23" s="101">
        <v>16.186</v>
      </c>
      <c r="R23" s="101">
        <v>13.709</v>
      </c>
      <c r="S23" s="101">
        <v>15.209</v>
      </c>
      <c r="T23" s="101">
        <v>7.907</v>
      </c>
    </row>
    <row r="24" ht="27" customHeight="1" spans="1:20">
      <c r="A24" s="90"/>
      <c r="B24" s="91"/>
      <c r="C24" s="102" t="s">
        <v>109</v>
      </c>
      <c r="D24" s="103">
        <v>539.929</v>
      </c>
      <c r="E24" s="104">
        <v>28.391</v>
      </c>
      <c r="F24" s="104">
        <v>26.077</v>
      </c>
      <c r="G24" s="104">
        <v>52.129</v>
      </c>
      <c r="H24" s="104">
        <v>80.822</v>
      </c>
      <c r="I24" s="104">
        <v>73.059</v>
      </c>
      <c r="J24" s="104">
        <v>44.218</v>
      </c>
      <c r="K24" s="104">
        <v>25.344</v>
      </c>
      <c r="L24" s="104">
        <v>76.048</v>
      </c>
      <c r="M24" s="104">
        <v>1.354</v>
      </c>
      <c r="N24" s="104">
        <v>55.887</v>
      </c>
      <c r="O24" s="104">
        <v>28.708</v>
      </c>
      <c r="P24" s="104">
        <v>3.43</v>
      </c>
      <c r="Q24" s="104">
        <v>15.321</v>
      </c>
      <c r="R24" s="104">
        <v>13.175</v>
      </c>
      <c r="S24" s="104">
        <v>1.615</v>
      </c>
      <c r="T24" s="104">
        <v>14.351</v>
      </c>
    </row>
    <row r="25" ht="20.1" customHeight="1" spans="1:20">
      <c r="A25" s="105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</row>
  </sheetData>
  <sheetProtection algorithmName="SHA-512" hashValue="gfjJ+BTFXKoVStGlbQ8JhZMQTiDC6p9hjw2UVdZRpYySgbVDjeYhMNWvCYUIWOkYigD2ExZMwBre7Of7MRpw5Q==" saltValue="5rT2Qa1mSJxo15vVRGjTMg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view="pageBreakPreview" zoomScale="72" zoomScaleNormal="100" workbookViewId="0">
      <selection activeCell="L14" sqref="L14"/>
    </sheetView>
  </sheetViews>
  <sheetFormatPr defaultColWidth="9" defaultRowHeight="15" outlineLevelCol="6"/>
  <cols>
    <col min="1" max="1" width="28.847619047619" style="2" customWidth="1"/>
    <col min="2" max="2" width="10.7142857142857" style="1" customWidth="1"/>
    <col min="3" max="3" width="11.4285714285714" style="1" customWidth="1"/>
    <col min="4" max="5" width="10.7142857142857" style="1" customWidth="1"/>
    <col min="6" max="6" width="11.4285714285714" style="1" customWidth="1"/>
    <col min="7" max="7" width="10.7142857142857" style="1" customWidth="1"/>
    <col min="8" max="8" width="9" style="1"/>
    <col min="9" max="16384" width="9" style="2"/>
  </cols>
  <sheetData>
    <row r="1" ht="30" customHeight="1" spans="1:7">
      <c r="A1" s="76" t="s">
        <v>110</v>
      </c>
      <c r="B1" s="76"/>
      <c r="C1" s="76"/>
      <c r="D1" s="76"/>
      <c r="E1" s="76"/>
      <c r="F1" s="76"/>
      <c r="G1" s="76"/>
    </row>
    <row r="2" ht="18" customHeight="1" spans="1:7">
      <c r="A2" s="4" t="s">
        <v>111</v>
      </c>
      <c r="B2" s="4"/>
      <c r="C2" s="4"/>
      <c r="D2" s="4"/>
      <c r="E2" s="4"/>
      <c r="F2" s="4"/>
      <c r="G2" s="4"/>
    </row>
    <row r="3" ht="6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8" t="s">
        <v>112</v>
      </c>
      <c r="B4" s="8">
        <f>[13]Master!A1</f>
        <v>2023</v>
      </c>
      <c r="C4" s="8"/>
      <c r="D4" s="8"/>
      <c r="E4" s="8">
        <f>[13]Master!A2</f>
        <v>2024</v>
      </c>
      <c r="F4" s="8"/>
      <c r="G4" s="8"/>
    </row>
    <row r="5" ht="48" customHeight="1" spans="1:7">
      <c r="A5" s="8"/>
      <c r="B5" s="8" t="s">
        <v>113</v>
      </c>
      <c r="C5" s="8" t="s">
        <v>114</v>
      </c>
      <c r="D5" s="8" t="s">
        <v>63</v>
      </c>
      <c r="E5" s="8" t="s">
        <v>113</v>
      </c>
      <c r="F5" s="8" t="s">
        <v>114</v>
      </c>
      <c r="G5" s="8" t="s">
        <v>63</v>
      </c>
    </row>
    <row r="6" ht="18" customHeight="1" spans="1:7">
      <c r="A6" s="8"/>
      <c r="B6" s="8" t="s">
        <v>115</v>
      </c>
      <c r="C6" s="8"/>
      <c r="D6" s="8"/>
      <c r="E6" s="8"/>
      <c r="F6" s="8"/>
      <c r="G6" s="8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77" t="s">
        <v>116</v>
      </c>
      <c r="B8" s="78">
        <v>100</v>
      </c>
      <c r="C8" s="78">
        <v>100</v>
      </c>
      <c r="D8" s="78">
        <v>100</v>
      </c>
      <c r="E8" s="78">
        <v>100</v>
      </c>
      <c r="F8" s="78">
        <v>100</v>
      </c>
      <c r="G8" s="78">
        <v>100</v>
      </c>
    </row>
    <row r="9" ht="27" customHeight="1" spans="1:7">
      <c r="A9" s="79" t="s">
        <v>117</v>
      </c>
      <c r="B9" s="78">
        <v>2.5</v>
      </c>
      <c r="C9" s="78">
        <v>2</v>
      </c>
      <c r="D9" s="78">
        <v>3.1</v>
      </c>
      <c r="E9" s="78">
        <v>1.1</v>
      </c>
      <c r="F9" s="78" t="s">
        <v>118</v>
      </c>
      <c r="G9" s="78">
        <v>2.4</v>
      </c>
    </row>
    <row r="10" ht="27" customHeight="1" spans="1:7">
      <c r="A10" s="79" t="s">
        <v>119</v>
      </c>
      <c r="B10" s="78" t="s">
        <v>118</v>
      </c>
      <c r="C10" s="78" t="s">
        <v>118</v>
      </c>
      <c r="D10" s="78" t="s">
        <v>118</v>
      </c>
      <c r="E10" s="78" t="s">
        <v>118</v>
      </c>
      <c r="F10" s="78" t="s">
        <v>118</v>
      </c>
      <c r="G10" s="78" t="s">
        <v>118</v>
      </c>
    </row>
    <row r="11" ht="27" customHeight="1" spans="1:7">
      <c r="A11" s="79" t="s">
        <v>120</v>
      </c>
      <c r="B11" s="78">
        <v>97.5</v>
      </c>
      <c r="C11" s="78">
        <v>98</v>
      </c>
      <c r="D11" s="78">
        <v>96.9</v>
      </c>
      <c r="E11" s="78">
        <v>98.9</v>
      </c>
      <c r="F11" s="78">
        <v>100</v>
      </c>
      <c r="G11" s="78">
        <v>97.6</v>
      </c>
    </row>
    <row r="12" ht="39.95" customHeight="1" spans="1:7">
      <c r="A12" s="80" t="s">
        <v>121</v>
      </c>
      <c r="B12" s="81">
        <v>91.8</v>
      </c>
      <c r="C12" s="81">
        <v>93.6</v>
      </c>
      <c r="D12" s="81">
        <v>89.9</v>
      </c>
      <c r="E12" s="81">
        <v>90.3</v>
      </c>
      <c r="F12" s="81">
        <v>94</v>
      </c>
      <c r="G12" s="81">
        <v>89.7</v>
      </c>
    </row>
    <row r="13" ht="27" customHeight="1" spans="1:7">
      <c r="A13" s="80" t="s">
        <v>122</v>
      </c>
      <c r="B13" s="81">
        <v>4.1</v>
      </c>
      <c r="C13" s="81">
        <v>2.5</v>
      </c>
      <c r="D13" s="81">
        <v>5.5</v>
      </c>
      <c r="E13" s="81">
        <v>3.1</v>
      </c>
      <c r="F13" s="81">
        <v>2.1</v>
      </c>
      <c r="G13" s="81">
        <v>2.4</v>
      </c>
    </row>
    <row r="14" ht="27" customHeight="1" spans="1:7">
      <c r="A14" s="80" t="s">
        <v>123</v>
      </c>
      <c r="B14" s="81">
        <v>3.5</v>
      </c>
      <c r="C14" s="81">
        <v>3.2</v>
      </c>
      <c r="D14" s="81">
        <v>4</v>
      </c>
      <c r="E14" s="81">
        <v>5.7</v>
      </c>
      <c r="F14" s="81">
        <v>3.1</v>
      </c>
      <c r="G14" s="81">
        <v>5.1</v>
      </c>
    </row>
    <row r="15" ht="27" customHeight="1" spans="1:7">
      <c r="A15" s="80" t="s">
        <v>124</v>
      </c>
      <c r="B15" s="81">
        <v>0.6</v>
      </c>
      <c r="C15" s="81">
        <v>0.7</v>
      </c>
      <c r="D15" s="81">
        <v>0.6</v>
      </c>
      <c r="E15" s="81">
        <v>0.9</v>
      </c>
      <c r="F15" s="81">
        <v>0.8</v>
      </c>
      <c r="G15" s="81">
        <v>2.8</v>
      </c>
    </row>
    <row r="16" ht="7.5" customHeight="1" spans="1:7">
      <c r="A16" s="61"/>
      <c r="B16" s="61"/>
      <c r="C16" s="61"/>
      <c r="D16" s="61"/>
      <c r="E16" s="61"/>
      <c r="F16" s="61"/>
      <c r="G16" s="61"/>
    </row>
    <row r="17" customHeight="1" spans="1:7">
      <c r="A17" s="82"/>
      <c r="B17" s="82"/>
      <c r="C17" s="82"/>
      <c r="D17" s="82"/>
      <c r="E17" s="82"/>
      <c r="F17" s="82"/>
      <c r="G17" s="82"/>
    </row>
    <row r="18" customHeight="1" spans="1:1">
      <c r="A18" s="1"/>
    </row>
    <row r="19" ht="30" customHeight="1" spans="1:7">
      <c r="A19" s="76" t="s">
        <v>125</v>
      </c>
      <c r="B19" s="76"/>
      <c r="C19" s="76"/>
      <c r="D19" s="76"/>
      <c r="E19" s="76"/>
      <c r="F19" s="76"/>
      <c r="G19" s="76"/>
    </row>
    <row r="20" ht="18" customHeight="1" spans="1:7">
      <c r="A20" s="4" t="s">
        <v>126</v>
      </c>
      <c r="B20" s="4"/>
      <c r="C20" s="4"/>
      <c r="D20" s="4"/>
      <c r="E20" s="4"/>
      <c r="F20" s="4"/>
      <c r="G20" s="4"/>
    </row>
    <row r="21" ht="6" customHeight="1" spans="1:7">
      <c r="A21" s="24"/>
      <c r="B21" s="24"/>
      <c r="C21" s="24"/>
      <c r="D21" s="24"/>
      <c r="E21" s="55"/>
      <c r="F21" s="55"/>
      <c r="G21" s="82"/>
    </row>
    <row r="22" ht="18" customHeight="1" spans="1:7">
      <c r="A22" s="8" t="s">
        <v>127</v>
      </c>
      <c r="B22" s="8"/>
      <c r="C22" s="8"/>
      <c r="D22" s="8">
        <f>[13]Master!A1</f>
        <v>2023</v>
      </c>
      <c r="E22" s="8"/>
      <c r="F22" s="8">
        <f>[13]Master!A2</f>
        <v>2024</v>
      </c>
      <c r="G22" s="8"/>
    </row>
    <row r="23" ht="37.5" customHeight="1" spans="1:7">
      <c r="A23" s="8"/>
      <c r="B23" s="8"/>
      <c r="C23" s="8"/>
      <c r="D23" s="8" t="s">
        <v>128</v>
      </c>
      <c r="E23" s="8"/>
      <c r="F23" s="8"/>
      <c r="G23" s="8"/>
    </row>
    <row r="24" ht="7.5" customHeight="1" spans="1:7">
      <c r="A24" s="23"/>
      <c r="B24" s="23"/>
      <c r="C24" s="23"/>
      <c r="D24" s="23"/>
      <c r="E24" s="67"/>
      <c r="F24" s="23"/>
      <c r="G24" s="23"/>
    </row>
    <row r="25" ht="27" customHeight="1" spans="1:7">
      <c r="A25" s="35" t="s">
        <v>116</v>
      </c>
      <c r="B25" s="35"/>
      <c r="C25" s="35"/>
      <c r="D25" s="83">
        <v>100</v>
      </c>
      <c r="E25" s="83"/>
      <c r="F25" s="83">
        <v>100</v>
      </c>
      <c r="G25" s="83"/>
    </row>
    <row r="26" ht="39.95" customHeight="1" spans="1:7">
      <c r="A26" s="40" t="s">
        <v>129</v>
      </c>
      <c r="B26" s="40"/>
      <c r="C26" s="40"/>
      <c r="D26" s="84">
        <v>73.7</v>
      </c>
      <c r="E26" s="84"/>
      <c r="F26" s="84">
        <v>73.1</v>
      </c>
      <c r="G26" s="84"/>
    </row>
    <row r="27" ht="27" customHeight="1" spans="1:7">
      <c r="A27" s="80" t="s">
        <v>130</v>
      </c>
      <c r="B27" s="80"/>
      <c r="C27" s="80"/>
      <c r="D27" s="84">
        <v>9.9</v>
      </c>
      <c r="E27" s="84"/>
      <c r="F27" s="84">
        <v>10.7</v>
      </c>
      <c r="G27" s="84"/>
    </row>
    <row r="28" ht="27" customHeight="1" spans="1:7">
      <c r="A28" s="80" t="s">
        <v>131</v>
      </c>
      <c r="B28" s="80"/>
      <c r="C28" s="80"/>
      <c r="D28" s="84">
        <v>2</v>
      </c>
      <c r="E28" s="84"/>
      <c r="F28" s="84">
        <v>2.1</v>
      </c>
      <c r="G28" s="84"/>
    </row>
    <row r="29" ht="27" customHeight="1" spans="1:7">
      <c r="A29" s="80" t="s">
        <v>132</v>
      </c>
      <c r="B29" s="80"/>
      <c r="C29" s="80"/>
      <c r="D29" s="84">
        <v>1.8</v>
      </c>
      <c r="E29" s="84"/>
      <c r="F29" s="84">
        <v>1.1</v>
      </c>
      <c r="G29" s="84"/>
    </row>
    <row r="30" ht="39.95" customHeight="1" spans="1:7">
      <c r="A30" s="80" t="s">
        <v>133</v>
      </c>
      <c r="B30" s="80"/>
      <c r="C30" s="80"/>
      <c r="D30" s="84">
        <v>7.6</v>
      </c>
      <c r="E30" s="84"/>
      <c r="F30" s="84">
        <v>8</v>
      </c>
      <c r="G30" s="84"/>
    </row>
    <row r="31" ht="27" customHeight="1" spans="1:7">
      <c r="A31" s="80" t="s">
        <v>134</v>
      </c>
      <c r="B31" s="80"/>
      <c r="C31" s="80"/>
      <c r="D31" s="84">
        <v>5</v>
      </c>
      <c r="E31" s="84"/>
      <c r="F31" s="84">
        <v>5</v>
      </c>
      <c r="G31" s="84"/>
    </row>
    <row r="32" ht="7.5" customHeight="1" spans="1:7">
      <c r="A32" s="61"/>
      <c r="B32" s="61"/>
      <c r="C32" s="61"/>
      <c r="D32" s="61"/>
      <c r="E32" s="61"/>
      <c r="F32" s="61"/>
      <c r="G32" s="85"/>
    </row>
  </sheetData>
  <sheetProtection algorithmName="SHA-512" hashValue="ZOpl5qbRw4Anress3Wnj2LcYVwX6iXVswnIwKuslWxmu1PgUMBlJqkYcpMiD6D7wnkero02nZFrps6gZ7T6e8A==" saltValue="EszPUVq5W4QQaNMgGbJJ0w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77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135</v>
      </c>
      <c r="B1" s="3"/>
      <c r="C1" s="3"/>
      <c r="D1" s="3"/>
    </row>
    <row r="2" customHeight="1" spans="1:4">
      <c r="A2" s="4" t="s">
        <v>136</v>
      </c>
      <c r="B2" s="4"/>
      <c r="C2" s="4"/>
      <c r="D2" s="4"/>
    </row>
    <row r="3" ht="6" customHeight="1" spans="1:4">
      <c r="A3" s="43"/>
      <c r="B3" s="35"/>
      <c r="C3" s="35"/>
      <c r="D3" s="23"/>
    </row>
    <row r="4" ht="18" customHeight="1" spans="1:4">
      <c r="A4" s="8" t="s">
        <v>137</v>
      </c>
      <c r="B4" s="29" t="s">
        <v>138</v>
      </c>
      <c r="C4" s="8">
        <v>2023</v>
      </c>
      <c r="D4" s="8">
        <v>2024</v>
      </c>
    </row>
    <row r="5" ht="18" customHeight="1" spans="1:4">
      <c r="A5" s="8"/>
      <c r="B5" s="29"/>
      <c r="C5" s="8" t="s">
        <v>139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140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141</v>
      </c>
      <c r="C9" s="36">
        <v>27.2</v>
      </c>
      <c r="D9" s="36">
        <v>21.2</v>
      </c>
    </row>
    <row r="10" customHeight="1" spans="1:4">
      <c r="A10" s="47"/>
      <c r="B10" s="35" t="s">
        <v>142</v>
      </c>
      <c r="C10" s="36">
        <v>39.5</v>
      </c>
      <c r="D10" s="36">
        <v>28.6</v>
      </c>
    </row>
    <row r="11" customHeight="1" spans="1:4">
      <c r="A11" s="47"/>
      <c r="B11" s="35" t="s">
        <v>143</v>
      </c>
      <c r="C11" s="36">
        <v>19.9</v>
      </c>
      <c r="D11" s="36">
        <v>28.4</v>
      </c>
    </row>
    <row r="12" customHeight="1" spans="1:4">
      <c r="A12" s="47"/>
      <c r="B12" s="35" t="s">
        <v>144</v>
      </c>
      <c r="C12" s="36">
        <v>13.4</v>
      </c>
      <c r="D12" s="36">
        <v>21.8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145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141</v>
      </c>
      <c r="C16" s="36">
        <v>26.8</v>
      </c>
      <c r="D16" s="36">
        <v>20</v>
      </c>
    </row>
    <row r="17" ht="17.25" customHeight="1" spans="1:4">
      <c r="A17" s="47"/>
      <c r="B17" s="35" t="s">
        <v>142</v>
      </c>
      <c r="C17" s="36">
        <v>40.4</v>
      </c>
      <c r="D17" s="36">
        <v>27.9</v>
      </c>
    </row>
    <row r="18" ht="17.25" customHeight="1" spans="1:4">
      <c r="A18" s="47"/>
      <c r="B18" s="35" t="s">
        <v>143</v>
      </c>
      <c r="C18" s="36">
        <v>18.9</v>
      </c>
      <c r="D18" s="36">
        <v>29.6</v>
      </c>
    </row>
    <row r="19" ht="17.25" customHeight="1" spans="1:4">
      <c r="A19" s="47"/>
      <c r="B19" s="35" t="s">
        <v>144</v>
      </c>
      <c r="C19" s="36">
        <v>13.9</v>
      </c>
      <c r="D19" s="36">
        <v>22.5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146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141</v>
      </c>
      <c r="C23" s="36">
        <v>27.7</v>
      </c>
      <c r="D23" s="36">
        <v>22.3</v>
      </c>
    </row>
    <row r="24" ht="17.25" customHeight="1" spans="1:4">
      <c r="A24" s="47"/>
      <c r="B24" s="35" t="s">
        <v>142</v>
      </c>
      <c r="C24" s="36">
        <v>38.4</v>
      </c>
      <c r="D24" s="36">
        <v>29.4</v>
      </c>
    </row>
    <row r="25" ht="17.25" customHeight="1" spans="1:4">
      <c r="A25" s="47"/>
      <c r="B25" s="35" t="s">
        <v>143</v>
      </c>
      <c r="C25" s="36">
        <v>21.1</v>
      </c>
      <c r="D25" s="36">
        <v>27.2</v>
      </c>
    </row>
    <row r="26" ht="17.25" customHeight="1" spans="1:4">
      <c r="A26" s="47"/>
      <c r="B26" s="35" t="s">
        <v>144</v>
      </c>
      <c r="C26" s="36">
        <v>12.8</v>
      </c>
      <c r="D26" s="36">
        <v>21.1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147</v>
      </c>
      <c r="C28" s="8">
        <v>2023</v>
      </c>
      <c r="D28" s="8">
        <v>2024</v>
      </c>
    </row>
    <row r="29" ht="18" customHeight="1" spans="1:4">
      <c r="A29" s="51"/>
      <c r="B29" s="29"/>
      <c r="C29" s="8" t="s">
        <v>139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148</v>
      </c>
      <c r="C32" s="36">
        <v>91.8</v>
      </c>
      <c r="D32" s="36">
        <v>88</v>
      </c>
    </row>
    <row r="33" ht="17.25" customHeight="1" spans="1:4">
      <c r="A33" s="53"/>
      <c r="B33" s="35" t="s">
        <v>149</v>
      </c>
      <c r="C33" s="36">
        <v>3.9</v>
      </c>
      <c r="D33" s="36">
        <v>6.8</v>
      </c>
    </row>
    <row r="34" ht="17.25" customHeight="1" spans="1:4">
      <c r="A34" s="53"/>
      <c r="B34" s="35" t="s">
        <v>150</v>
      </c>
      <c r="C34" s="36">
        <v>1.2</v>
      </c>
      <c r="D34" s="36">
        <v>2.5</v>
      </c>
    </row>
    <row r="35" ht="17.25" customHeight="1" spans="1:4">
      <c r="A35" s="53"/>
      <c r="B35" s="35" t="s">
        <v>151</v>
      </c>
      <c r="C35" s="36">
        <v>3.1</v>
      </c>
      <c r="D35" s="36">
        <v>2.7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152</v>
      </c>
      <c r="C37" s="8">
        <v>2023</v>
      </c>
      <c r="D37" s="8">
        <v>2024</v>
      </c>
    </row>
    <row r="38" ht="18" customHeight="1" spans="1:4">
      <c r="A38" s="56"/>
      <c r="B38" s="29"/>
      <c r="C38" s="8" t="s">
        <v>139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153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154</v>
      </c>
      <c r="C41" s="36">
        <v>35.9</v>
      </c>
      <c r="D41" s="36">
        <v>33.1</v>
      </c>
    </row>
    <row r="42" ht="17.25" customHeight="1" spans="1:4">
      <c r="A42" s="53"/>
      <c r="B42" s="35" t="s">
        <v>155</v>
      </c>
      <c r="C42" s="36">
        <v>52.8</v>
      </c>
      <c r="D42" s="36">
        <v>52.2</v>
      </c>
    </row>
    <row r="43" ht="17.25" customHeight="1" spans="1:4">
      <c r="A43" s="53"/>
      <c r="B43" s="35" t="s">
        <v>156</v>
      </c>
      <c r="C43" s="36">
        <v>10.1</v>
      </c>
      <c r="D43" s="36">
        <v>14.4</v>
      </c>
    </row>
    <row r="44" ht="35.25" customHeight="1" spans="1:4">
      <c r="A44" s="53"/>
      <c r="B44" s="35" t="s">
        <v>157</v>
      </c>
      <c r="C44" s="36">
        <v>1.2</v>
      </c>
      <c r="D44" s="36">
        <v>0.3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GSCAxke/2RZEvHSJ2GZWRlFyP/LtyS1rBsoIDpOORvPrrd+WrgzzB8L39Se6T0/nQ0BVt7fHjmrRA+L3LUEw5A==" saltValue="tAhwN25kpgVZI9eG58VF9w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2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158</v>
      </c>
      <c r="B1" s="3"/>
      <c r="C1" s="3"/>
      <c r="D1" s="3"/>
    </row>
    <row r="2" ht="18" customHeight="1" spans="1:4">
      <c r="A2" s="4" t="s">
        <v>159</v>
      </c>
      <c r="B2" s="4"/>
      <c r="C2" s="4"/>
      <c r="D2" s="4"/>
    </row>
    <row r="3" ht="6" customHeight="1" spans="1:4">
      <c r="A3" s="27"/>
      <c r="B3" s="27"/>
      <c r="C3" s="28"/>
      <c r="D3" s="28"/>
    </row>
    <row r="4" ht="18" customHeight="1" spans="1:4">
      <c r="A4" s="8"/>
      <c r="B4" s="29" t="s">
        <v>160</v>
      </c>
      <c r="C4" s="8">
        <v>2023</v>
      </c>
      <c r="D4" s="8">
        <v>2024</v>
      </c>
    </row>
    <row r="5" ht="18" customHeight="1" spans="1:4">
      <c r="A5" s="8"/>
      <c r="B5" s="29"/>
      <c r="C5" s="8" t="s">
        <v>161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162</v>
      </c>
      <c r="C8" s="36">
        <v>3.7</v>
      </c>
      <c r="D8" s="36">
        <v>8.5</v>
      </c>
    </row>
    <row r="9" ht="17.25" customHeight="1" spans="1:4">
      <c r="A9" s="30"/>
      <c r="B9" s="35" t="s">
        <v>163</v>
      </c>
      <c r="C9" s="36">
        <v>36.5</v>
      </c>
      <c r="D9" s="36">
        <v>32.2</v>
      </c>
    </row>
    <row r="10" ht="17.25" customHeight="1" spans="1:4">
      <c r="A10" s="37"/>
      <c r="B10" s="35" t="s">
        <v>164</v>
      </c>
      <c r="C10" s="36">
        <v>28.8</v>
      </c>
      <c r="D10" s="36">
        <v>28.5</v>
      </c>
    </row>
    <row r="11" ht="17.25" customHeight="1" spans="1:4">
      <c r="A11" s="37"/>
      <c r="B11" s="35" t="s">
        <v>165</v>
      </c>
      <c r="C11" s="36">
        <v>24.4</v>
      </c>
      <c r="D11" s="36">
        <v>22.9</v>
      </c>
    </row>
    <row r="12" ht="17.25" customHeight="1" spans="1:4">
      <c r="A12" s="37"/>
      <c r="B12" s="35" t="s">
        <v>166</v>
      </c>
      <c r="C12" s="36">
        <v>6.6</v>
      </c>
      <c r="D12" s="36">
        <v>7.9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167</v>
      </c>
      <c r="C14" s="8">
        <v>2023</v>
      </c>
      <c r="D14" s="8">
        <v>2024</v>
      </c>
    </row>
    <row r="15" ht="18" customHeight="1" spans="1:4">
      <c r="A15" s="38"/>
      <c r="B15" s="29"/>
      <c r="C15" s="8" t="s">
        <v>161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168</v>
      </c>
      <c r="C18" s="33">
        <v>57.9</v>
      </c>
      <c r="D18" s="33">
        <v>57.6</v>
      </c>
    </row>
    <row r="19" ht="36" customHeight="1" spans="1:4">
      <c r="A19" s="39"/>
      <c r="B19" s="40" t="s">
        <v>169</v>
      </c>
      <c r="C19" s="36">
        <v>12.7</v>
      </c>
      <c r="D19" s="36">
        <v>17.7</v>
      </c>
    </row>
    <row r="20" ht="36" customHeight="1" spans="1:4">
      <c r="A20" s="39"/>
      <c r="B20" s="40" t="s">
        <v>170</v>
      </c>
      <c r="C20" s="36">
        <v>1.4</v>
      </c>
      <c r="D20" s="36">
        <v>1.9</v>
      </c>
    </row>
    <row r="21" ht="36" customHeight="1" spans="1:4">
      <c r="A21" s="39"/>
      <c r="B21" s="40" t="s">
        <v>171</v>
      </c>
      <c r="C21" s="36">
        <v>23</v>
      </c>
      <c r="D21" s="36">
        <v>19.2</v>
      </c>
    </row>
    <row r="22" ht="36" customHeight="1" spans="1:4">
      <c r="A22" s="39"/>
      <c r="B22" s="40" t="s">
        <v>172</v>
      </c>
      <c r="C22" s="36">
        <v>11.2</v>
      </c>
      <c r="D22" s="36">
        <v>7.8</v>
      </c>
    </row>
    <row r="23" ht="36" customHeight="1" spans="1:4">
      <c r="A23" s="39"/>
      <c r="B23" s="40" t="s">
        <v>173</v>
      </c>
      <c r="C23" s="36">
        <v>9.6</v>
      </c>
      <c r="D23" s="36">
        <v>11</v>
      </c>
    </row>
    <row r="24" ht="36" customHeight="1" spans="1:4">
      <c r="A24" s="39"/>
      <c r="B24" s="35" t="s">
        <v>174</v>
      </c>
      <c r="C24" s="33">
        <v>42.1</v>
      </c>
      <c r="D24" s="33">
        <v>42.4</v>
      </c>
    </row>
    <row r="25" ht="36" customHeight="1" spans="1:4">
      <c r="A25" s="39"/>
      <c r="B25" s="40" t="s">
        <v>175</v>
      </c>
      <c r="C25" s="36">
        <v>5.7</v>
      </c>
      <c r="D25" s="36">
        <v>7.2</v>
      </c>
    </row>
    <row r="26" ht="36" customHeight="1" spans="1:4">
      <c r="A26" s="39"/>
      <c r="B26" s="40" t="s">
        <v>176</v>
      </c>
      <c r="C26" s="36">
        <v>3</v>
      </c>
      <c r="D26" s="36">
        <v>4.6</v>
      </c>
    </row>
    <row r="27" ht="36" customHeight="1" spans="1:4">
      <c r="A27" s="39"/>
      <c r="B27" s="40" t="s">
        <v>177</v>
      </c>
      <c r="C27" s="36">
        <v>17.8</v>
      </c>
      <c r="D27" s="36">
        <v>14.4</v>
      </c>
    </row>
    <row r="28" ht="36" customHeight="1" spans="1:4">
      <c r="A28" s="39"/>
      <c r="B28" s="40" t="s">
        <v>178</v>
      </c>
      <c r="C28" s="36">
        <v>15.6</v>
      </c>
      <c r="D28" s="36">
        <v>16.2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2wUU2XWaMOkjmsj4uvlqNm+v4Ck8OFaSaWbnzDZ5Qxtk8QJ1DVbaEgcQjJ6ju/nUB7g06FRdQl02CXIF/MXpug==" saltValue="i1Avw3ALBJjDr0QYnibxBA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76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16384" width="9" style="2"/>
  </cols>
  <sheetData>
    <row r="1" customHeight="1" spans="1:7">
      <c r="A1" s="3" t="s">
        <v>179</v>
      </c>
      <c r="B1" s="3"/>
      <c r="C1" s="3"/>
      <c r="D1" s="3"/>
      <c r="E1" s="3"/>
      <c r="F1" s="3"/>
      <c r="G1" s="3"/>
    </row>
    <row r="2" customHeight="1" spans="1:7">
      <c r="A2" s="4" t="s">
        <v>180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181</v>
      </c>
      <c r="B4" s="7"/>
      <c r="C4" s="8" t="s">
        <v>182</v>
      </c>
      <c r="D4" s="8"/>
      <c r="E4" s="7"/>
      <c r="F4" s="8" t="s">
        <v>183</v>
      </c>
      <c r="G4" s="7"/>
    </row>
    <row r="5" ht="30" customHeight="1" spans="1:7">
      <c r="A5" s="9" t="s">
        <v>184</v>
      </c>
      <c r="B5" s="10"/>
      <c r="C5" s="11">
        <v>1</v>
      </c>
      <c r="D5" s="12"/>
      <c r="E5" s="12"/>
      <c r="F5" s="11">
        <v>298</v>
      </c>
      <c r="G5" s="13"/>
    </row>
    <row r="6" ht="30" customHeight="1" spans="1:7">
      <c r="A6" s="9" t="s">
        <v>185</v>
      </c>
      <c r="B6" s="10"/>
      <c r="C6" s="11">
        <v>7</v>
      </c>
      <c r="D6" s="14"/>
      <c r="E6" s="14"/>
      <c r="F6" s="11">
        <v>881</v>
      </c>
      <c r="G6" s="13"/>
    </row>
    <row r="7" ht="30" customHeight="1" spans="1:7">
      <c r="A7" s="9" t="s">
        <v>186</v>
      </c>
      <c r="B7" s="10"/>
      <c r="C7" s="11">
        <v>11</v>
      </c>
      <c r="D7" s="14"/>
      <c r="E7" s="14"/>
      <c r="F7" s="11">
        <v>720</v>
      </c>
      <c r="G7" s="13"/>
    </row>
    <row r="8" ht="30" customHeight="1" spans="1:7">
      <c r="A8" s="9" t="s">
        <v>187</v>
      </c>
      <c r="B8" s="10"/>
      <c r="C8" s="11">
        <v>13</v>
      </c>
      <c r="D8" s="14"/>
      <c r="E8" s="14"/>
      <c r="F8" s="11">
        <v>794</v>
      </c>
      <c r="G8" s="13"/>
    </row>
    <row r="9" ht="30" customHeight="1" spans="1:7">
      <c r="A9" s="9" t="s">
        <v>188</v>
      </c>
      <c r="B9" s="10"/>
      <c r="C9" s="11">
        <v>7</v>
      </c>
      <c r="D9" s="14"/>
      <c r="E9" s="14"/>
      <c r="F9" s="11">
        <v>225</v>
      </c>
      <c r="G9" s="13"/>
    </row>
    <row r="10" ht="30" customHeight="1" spans="1:7">
      <c r="A10" s="9" t="s">
        <v>189</v>
      </c>
      <c r="B10" s="10"/>
      <c r="C10" s="11">
        <v>10</v>
      </c>
      <c r="D10" s="14"/>
      <c r="E10" s="14"/>
      <c r="F10" s="11">
        <v>300</v>
      </c>
      <c r="G10" s="13"/>
    </row>
    <row r="11" ht="30" customHeight="1" spans="1:7">
      <c r="A11" s="9" t="s">
        <v>190</v>
      </c>
      <c r="B11" s="10"/>
      <c r="C11" s="11">
        <v>6</v>
      </c>
      <c r="D11" s="14"/>
      <c r="E11" s="14"/>
      <c r="F11" s="11">
        <v>143</v>
      </c>
      <c r="G11" s="13"/>
    </row>
    <row r="12" ht="30" customHeight="1" spans="1:7">
      <c r="A12" s="9" t="s">
        <v>191</v>
      </c>
      <c r="B12" s="10"/>
      <c r="C12" s="11">
        <v>11</v>
      </c>
      <c r="D12" s="14"/>
      <c r="E12" s="14"/>
      <c r="F12" s="11">
        <v>272</v>
      </c>
      <c r="G12" s="5"/>
    </row>
    <row r="13" ht="30" customHeight="1" spans="1:7">
      <c r="A13" s="15" t="s">
        <v>192</v>
      </c>
      <c r="B13" s="10"/>
      <c r="C13" s="11">
        <v>25</v>
      </c>
      <c r="D13" s="14"/>
      <c r="E13" s="14"/>
      <c r="F13" s="11">
        <v>727</v>
      </c>
      <c r="G13" s="5"/>
    </row>
    <row r="14" ht="30" customHeight="1" spans="1:7">
      <c r="A14" s="6" t="s">
        <v>27</v>
      </c>
      <c r="B14" s="16"/>
      <c r="C14" s="17">
        <v>91</v>
      </c>
      <c r="D14" s="18"/>
      <c r="E14" s="18"/>
      <c r="F14" s="17">
        <v>4360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193</v>
      </c>
    </row>
    <row r="17" spans="1:7">
      <c r="A17" s="13"/>
      <c r="B17" s="13"/>
      <c r="C17" s="13"/>
      <c r="D17" s="13"/>
      <c r="E17" s="13"/>
      <c r="F17" s="13"/>
      <c r="G17" s="21" t="s">
        <v>194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195</v>
      </c>
      <c r="B20" s="23"/>
      <c r="C20" s="23"/>
      <c r="D20" s="23"/>
      <c r="E20" s="23"/>
      <c r="F20" s="23"/>
      <c r="G20" s="23"/>
    </row>
    <row r="21" customHeight="1" spans="1:7">
      <c r="A21" s="24" t="s">
        <v>196</v>
      </c>
      <c r="B21" s="24"/>
      <c r="C21" s="24"/>
      <c r="D21" s="24"/>
      <c r="E21" s="24"/>
      <c r="F21" s="24"/>
      <c r="G21" s="2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197</v>
      </c>
      <c r="B23" s="7"/>
      <c r="C23" s="8" t="s">
        <v>182</v>
      </c>
      <c r="D23" s="8"/>
      <c r="E23" s="7"/>
      <c r="F23" s="8" t="s">
        <v>183</v>
      </c>
      <c r="G23" s="7"/>
    </row>
    <row r="24" ht="30" customHeight="1" spans="1:7">
      <c r="A24" s="9" t="s">
        <v>198</v>
      </c>
      <c r="B24" s="10"/>
      <c r="C24" s="11">
        <v>74</v>
      </c>
      <c r="D24" s="12"/>
      <c r="E24" s="12"/>
      <c r="F24" s="11">
        <v>3661</v>
      </c>
      <c r="G24" s="13"/>
    </row>
    <row r="25" ht="30" customHeight="1" spans="1:7">
      <c r="A25" s="9" t="s">
        <v>199</v>
      </c>
      <c r="B25" s="10"/>
      <c r="C25" s="11">
        <v>16</v>
      </c>
      <c r="D25" s="14"/>
      <c r="E25" s="14"/>
      <c r="F25" s="11">
        <v>679</v>
      </c>
      <c r="G25" s="13"/>
    </row>
    <row r="26" ht="30" customHeight="1" spans="1:7">
      <c r="A26" s="9" t="s">
        <v>200</v>
      </c>
      <c r="B26" s="10"/>
      <c r="C26" s="11">
        <v>0</v>
      </c>
      <c r="D26" s="14"/>
      <c r="E26" s="14"/>
      <c r="F26" s="11">
        <v>0</v>
      </c>
      <c r="G26" s="13"/>
    </row>
    <row r="27" ht="30" customHeight="1" spans="1:7">
      <c r="A27" s="9" t="s">
        <v>201</v>
      </c>
      <c r="B27" s="10"/>
      <c r="C27" s="11">
        <v>1</v>
      </c>
      <c r="D27" s="14"/>
      <c r="E27" s="14"/>
      <c r="F27" s="11">
        <v>20</v>
      </c>
      <c r="G27" s="13"/>
    </row>
    <row r="28" ht="30" customHeight="1" spans="1:7">
      <c r="A28" s="6" t="s">
        <v>27</v>
      </c>
      <c r="B28" s="16"/>
      <c r="C28" s="17">
        <v>91</v>
      </c>
      <c r="D28" s="18"/>
      <c r="E28" s="18"/>
      <c r="F28" s="17">
        <v>4360</v>
      </c>
      <c r="G28" s="19"/>
    </row>
    <row r="30" spans="7:7">
      <c r="G30" s="25" t="s">
        <v>193</v>
      </c>
    </row>
    <row r="31" spans="7:7">
      <c r="G31" s="26" t="s">
        <v>194</v>
      </c>
    </row>
  </sheetData>
  <sheetProtection algorithmName="SHA-512" hashValue="NWnEG7octH8/VmOVYLhWeYkgbeKpvHwK7ZdNk+QnKwkoIqG+EJVJQc17SYbSdgBycOdhbOBZpdhjq4EqGv327A==" saltValue="LRLHaD05v3Fw8KYwh7PMSw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WPS_1720595277</cp:lastModifiedBy>
  <dcterms:created xsi:type="dcterms:W3CDTF">2018-11-29T07:51:00Z</dcterms:created>
  <cp:lastPrinted>2022-09-27T10:07:00Z</cp:lastPrinted>
  <dcterms:modified xsi:type="dcterms:W3CDTF">2025-09-17T01:22:58Z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1B0349D1200940A193A2B756C1437697</vt:lpwstr>
  </property>
</Properties>
</file>