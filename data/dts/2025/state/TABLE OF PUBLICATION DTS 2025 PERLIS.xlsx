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 tabRatio="808" activeTab="2"/>
  </bookViews>
  <sheets>
    <sheet name="Tajuk" sheetId="40" r:id="rId1"/>
    <sheet name="Master" sheetId="41" r:id="rId2"/>
    <sheet name="Jadual 1" sheetId="1" r:id="rId3"/>
    <sheet name="Jadual 2 &amp; 3" sheetId="2" r:id="rId4"/>
    <sheet name="Jadual 4-6" sheetId="3" r:id="rId5"/>
    <sheet name="Jadual 7" sheetId="4" r:id="rId6"/>
    <sheet name="Jadual 8" sheetId="32" r:id="rId7"/>
    <sheet name="Jadual 9" sheetId="30" r:id="rId8"/>
    <sheet name="Jadual 10" sheetId="31" r:id="rId9"/>
    <sheet name="Jadual 11 &amp; 12" sheetId="34" r:id="rId10"/>
    <sheet name="Jadual 13" sheetId="8" r:id="rId11"/>
    <sheet name="Jadual 13a" sheetId="9" r:id="rId12"/>
    <sheet name="Jadual 14 &amp; 15" sheetId="39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_________JAD11" localSheetId="2">#REF!</definedName>
    <definedName name="___________JAD11" localSheetId="12">#REF!</definedName>
    <definedName name="___________JAD11" localSheetId="4">#REF!</definedName>
    <definedName name="___________JAD11" localSheetId="6">#REF!</definedName>
    <definedName name="___________JAD11" localSheetId="7">#REF!</definedName>
    <definedName name="___________JAD11">#REF!</definedName>
    <definedName name="___________JAD12" localSheetId="12">#REF!</definedName>
    <definedName name="___________JAD12" localSheetId="4">#REF!</definedName>
    <definedName name="___________JAD12" localSheetId="6">#REF!</definedName>
    <definedName name="___________JAD12" localSheetId="7">#REF!</definedName>
    <definedName name="___________JAD12">#REF!</definedName>
    <definedName name="__________2" localSheetId="12">#REF!</definedName>
    <definedName name="__________2" localSheetId="4">#REF!</definedName>
    <definedName name="__________2" localSheetId="6">#REF!</definedName>
    <definedName name="__________2" localSheetId="7">#REF!</definedName>
    <definedName name="__________2">#REF!</definedName>
    <definedName name="__________20_49" localSheetId="12">#REF!</definedName>
    <definedName name="__________20_49" localSheetId="4">#REF!</definedName>
    <definedName name="__________20_49" localSheetId="6">#REF!</definedName>
    <definedName name="__________20_49" localSheetId="7">#REF!</definedName>
    <definedName name="__________20_49">#REF!</definedName>
    <definedName name="__________200_499" localSheetId="12">#REF!</definedName>
    <definedName name="__________200_499" localSheetId="4">#REF!</definedName>
    <definedName name="__________200_499" localSheetId="6">#REF!</definedName>
    <definedName name="__________200_499" localSheetId="7">#REF!</definedName>
    <definedName name="__________200_499">#REF!</definedName>
    <definedName name="__________3" localSheetId="12">#REF!</definedName>
    <definedName name="__________3" localSheetId="4">#REF!</definedName>
    <definedName name="__________3" localSheetId="6">#REF!</definedName>
    <definedName name="__________3" localSheetId="7">#REF!</definedName>
    <definedName name="__________3">#REF!</definedName>
    <definedName name="__________4" localSheetId="12">#REF!</definedName>
    <definedName name="__________4" localSheetId="4">#REF!</definedName>
    <definedName name="__________4" localSheetId="6">#REF!</definedName>
    <definedName name="__________4" localSheetId="7">#REF!</definedName>
    <definedName name="__________4">#REF!</definedName>
    <definedName name="__________5" localSheetId="12">#REF!</definedName>
    <definedName name="__________5" localSheetId="4">#REF!</definedName>
    <definedName name="__________5" localSheetId="6">#REF!</definedName>
    <definedName name="__________5" localSheetId="7">#REF!</definedName>
    <definedName name="__________5">#REF!</definedName>
    <definedName name="__________50_99" localSheetId="12">#REF!</definedName>
    <definedName name="__________50_99" localSheetId="4">#REF!</definedName>
    <definedName name="__________50_99" localSheetId="6">#REF!</definedName>
    <definedName name="__________50_99" localSheetId="7">#REF!</definedName>
    <definedName name="__________50_99">#REF!</definedName>
    <definedName name="__________500_1999" localSheetId="12">#REF!</definedName>
    <definedName name="__________500_1999" localSheetId="4">#REF!</definedName>
    <definedName name="__________500_1999" localSheetId="6">#REF!</definedName>
    <definedName name="__________500_1999" localSheetId="7">#REF!</definedName>
    <definedName name="__________500_1999">#REF!</definedName>
    <definedName name="__________6" localSheetId="12">#REF!</definedName>
    <definedName name="__________6" localSheetId="4">#REF!</definedName>
    <definedName name="__________6" localSheetId="6">#REF!</definedName>
    <definedName name="__________6" localSheetId="7">#REF!</definedName>
    <definedName name="__________6">#REF!</definedName>
    <definedName name="__________7" localSheetId="12">#REF!</definedName>
    <definedName name="__________7" localSheetId="4">#REF!</definedName>
    <definedName name="__________7" localSheetId="6">#REF!</definedName>
    <definedName name="__________7" localSheetId="7">#REF!</definedName>
    <definedName name="__________7">#REF!</definedName>
    <definedName name="__________8" localSheetId="12">#REF!</definedName>
    <definedName name="__________8" localSheetId="4">#REF!</definedName>
    <definedName name="__________8" localSheetId="6">#REF!</definedName>
    <definedName name="__________8" localSheetId="7">#REF!</definedName>
    <definedName name="__________8">#REF!</definedName>
    <definedName name="_________JAD11" localSheetId="12">#REF!</definedName>
    <definedName name="_________JAD11" localSheetId="4">#REF!</definedName>
    <definedName name="_________JAD11" localSheetId="6">#REF!</definedName>
    <definedName name="_________JAD11" localSheetId="7">#REF!</definedName>
    <definedName name="_________JAD11">#REF!</definedName>
    <definedName name="_________JAD12" localSheetId="12">#REF!</definedName>
    <definedName name="_________JAD12" localSheetId="4">#REF!</definedName>
    <definedName name="_________JAD12" localSheetId="6">#REF!</definedName>
    <definedName name="_________JAD12" localSheetId="7">#REF!</definedName>
    <definedName name="_________JAD12">#REF!</definedName>
    <definedName name="________2" localSheetId="12">#REF!</definedName>
    <definedName name="________2" localSheetId="4">#REF!</definedName>
    <definedName name="________2" localSheetId="6">#REF!</definedName>
    <definedName name="________2" localSheetId="7">#REF!</definedName>
    <definedName name="________2">#REF!</definedName>
    <definedName name="________20_49" localSheetId="12">#REF!</definedName>
    <definedName name="________20_49" localSheetId="4">#REF!</definedName>
    <definedName name="________20_49" localSheetId="6">#REF!</definedName>
    <definedName name="________20_49" localSheetId="7">#REF!</definedName>
    <definedName name="________20_49">#REF!</definedName>
    <definedName name="________200_499" localSheetId="12">#REF!</definedName>
    <definedName name="________200_499" localSheetId="4">#REF!</definedName>
    <definedName name="________200_499" localSheetId="6">#REF!</definedName>
    <definedName name="________200_499" localSheetId="7">#REF!</definedName>
    <definedName name="________200_499">#REF!</definedName>
    <definedName name="________3" localSheetId="12">#REF!</definedName>
    <definedName name="________3" localSheetId="4">#REF!</definedName>
    <definedName name="________3" localSheetId="6">#REF!</definedName>
    <definedName name="________3" localSheetId="7">#REF!</definedName>
    <definedName name="________3">#REF!</definedName>
    <definedName name="________4" localSheetId="12">#REF!</definedName>
    <definedName name="________4" localSheetId="4">#REF!</definedName>
    <definedName name="________4" localSheetId="6">#REF!</definedName>
    <definedName name="________4" localSheetId="7">#REF!</definedName>
    <definedName name="________4">#REF!</definedName>
    <definedName name="________5" localSheetId="12">#REF!</definedName>
    <definedName name="________5" localSheetId="4">#REF!</definedName>
    <definedName name="________5" localSheetId="6">#REF!</definedName>
    <definedName name="________5" localSheetId="7">#REF!</definedName>
    <definedName name="________5">#REF!</definedName>
    <definedName name="________50_99" localSheetId="12">#REF!</definedName>
    <definedName name="________50_99" localSheetId="4">#REF!</definedName>
    <definedName name="________50_99" localSheetId="6">#REF!</definedName>
    <definedName name="________50_99" localSheetId="7">#REF!</definedName>
    <definedName name="________50_99">#REF!</definedName>
    <definedName name="________500_1999" localSheetId="12">#REF!</definedName>
    <definedName name="________500_1999" localSheetId="4">#REF!</definedName>
    <definedName name="________500_1999" localSheetId="6">#REF!</definedName>
    <definedName name="________500_1999" localSheetId="7">#REF!</definedName>
    <definedName name="________500_1999">#REF!</definedName>
    <definedName name="________6" localSheetId="12">#REF!</definedName>
    <definedName name="________6" localSheetId="4">#REF!</definedName>
    <definedName name="________6" localSheetId="6">#REF!</definedName>
    <definedName name="________6" localSheetId="7">#REF!</definedName>
    <definedName name="________6">#REF!</definedName>
    <definedName name="________7" localSheetId="12">#REF!</definedName>
    <definedName name="________7" localSheetId="4">#REF!</definedName>
    <definedName name="________7" localSheetId="6">#REF!</definedName>
    <definedName name="________7" localSheetId="7">#REF!</definedName>
    <definedName name="________7">#REF!</definedName>
    <definedName name="________8" localSheetId="12">#REF!</definedName>
    <definedName name="________8" localSheetId="4">#REF!</definedName>
    <definedName name="________8" localSheetId="6">#REF!</definedName>
    <definedName name="________8" localSheetId="7">#REF!</definedName>
    <definedName name="________8">#REF!</definedName>
    <definedName name="_______JAD11" localSheetId="12">#REF!</definedName>
    <definedName name="_______JAD11" localSheetId="4">#REF!</definedName>
    <definedName name="_______JAD11" localSheetId="6">#REF!</definedName>
    <definedName name="_______JAD11" localSheetId="7">#REF!</definedName>
    <definedName name="_______JAD11">#REF!</definedName>
    <definedName name="_______JAD12" localSheetId="12">#REF!</definedName>
    <definedName name="_______JAD12" localSheetId="4">#REF!</definedName>
    <definedName name="_______JAD12" localSheetId="6">#REF!</definedName>
    <definedName name="_______JAD12" localSheetId="7">#REF!</definedName>
    <definedName name="_______JAD12">#REF!</definedName>
    <definedName name="______2" localSheetId="12">#REF!</definedName>
    <definedName name="______2" localSheetId="4">#REF!</definedName>
    <definedName name="______2" localSheetId="6">#REF!</definedName>
    <definedName name="______2" localSheetId="7">#REF!</definedName>
    <definedName name="______2">#REF!</definedName>
    <definedName name="______20_49" localSheetId="12">#REF!</definedName>
    <definedName name="______20_49" localSheetId="4">#REF!</definedName>
    <definedName name="______20_49" localSheetId="6">#REF!</definedName>
    <definedName name="______20_49" localSheetId="7">#REF!</definedName>
    <definedName name="______20_49">#REF!</definedName>
    <definedName name="______200_499" localSheetId="12">#REF!</definedName>
    <definedName name="______200_499" localSheetId="4">#REF!</definedName>
    <definedName name="______200_499" localSheetId="6">#REF!</definedName>
    <definedName name="______200_499" localSheetId="7">#REF!</definedName>
    <definedName name="______200_499">#REF!</definedName>
    <definedName name="______3" localSheetId="12">#REF!</definedName>
    <definedName name="______3" localSheetId="4">#REF!</definedName>
    <definedName name="______3" localSheetId="6">#REF!</definedName>
    <definedName name="______3" localSheetId="7">#REF!</definedName>
    <definedName name="______3">#REF!</definedName>
    <definedName name="______4" localSheetId="12">#REF!</definedName>
    <definedName name="______4" localSheetId="4">#REF!</definedName>
    <definedName name="______4" localSheetId="6">#REF!</definedName>
    <definedName name="______4" localSheetId="7">#REF!</definedName>
    <definedName name="______4">#REF!</definedName>
    <definedName name="______5" localSheetId="12">#REF!</definedName>
    <definedName name="______5" localSheetId="4">#REF!</definedName>
    <definedName name="______5" localSheetId="6">#REF!</definedName>
    <definedName name="______5" localSheetId="7">#REF!</definedName>
    <definedName name="______5">#REF!</definedName>
    <definedName name="______50_99" localSheetId="12">#REF!</definedName>
    <definedName name="______50_99" localSheetId="4">#REF!</definedName>
    <definedName name="______50_99" localSheetId="6">#REF!</definedName>
    <definedName name="______50_99" localSheetId="7">#REF!</definedName>
    <definedName name="______50_99">#REF!</definedName>
    <definedName name="______500_1999" localSheetId="12">#REF!</definedName>
    <definedName name="______500_1999" localSheetId="4">#REF!</definedName>
    <definedName name="______500_1999" localSheetId="6">#REF!</definedName>
    <definedName name="______500_1999" localSheetId="7">#REF!</definedName>
    <definedName name="______500_1999">#REF!</definedName>
    <definedName name="______6" localSheetId="12">#REF!</definedName>
    <definedName name="______6" localSheetId="4">#REF!</definedName>
    <definedName name="______6" localSheetId="6">#REF!</definedName>
    <definedName name="______6" localSheetId="7">#REF!</definedName>
    <definedName name="______6">#REF!</definedName>
    <definedName name="______7" localSheetId="12">#REF!</definedName>
    <definedName name="______7" localSheetId="4">#REF!</definedName>
    <definedName name="______7" localSheetId="6">#REF!</definedName>
    <definedName name="______7" localSheetId="7">#REF!</definedName>
    <definedName name="______7">#REF!</definedName>
    <definedName name="______8" localSheetId="12">#REF!</definedName>
    <definedName name="______8" localSheetId="4">#REF!</definedName>
    <definedName name="______8" localSheetId="6">#REF!</definedName>
    <definedName name="______8" localSheetId="7">#REF!</definedName>
    <definedName name="______8">#REF!</definedName>
    <definedName name="_____JAD11" localSheetId="12">#REF!</definedName>
    <definedName name="_____JAD11" localSheetId="4">#REF!</definedName>
    <definedName name="_____JAD11" localSheetId="6">#REF!</definedName>
    <definedName name="_____JAD11" localSheetId="7">#REF!</definedName>
    <definedName name="_____JAD11">#REF!</definedName>
    <definedName name="_____JAD12" localSheetId="12">#REF!</definedName>
    <definedName name="_____JAD12" localSheetId="4">#REF!</definedName>
    <definedName name="_____JAD12" localSheetId="6">#REF!</definedName>
    <definedName name="_____JAD12" localSheetId="7">#REF!</definedName>
    <definedName name="_____JAD12">#REF!</definedName>
    <definedName name="____2" localSheetId="12">#REF!</definedName>
    <definedName name="____2" localSheetId="4">#REF!</definedName>
    <definedName name="____2" localSheetId="6">#REF!</definedName>
    <definedName name="____2" localSheetId="7">#REF!</definedName>
    <definedName name="____2">#REF!</definedName>
    <definedName name="____20_49" localSheetId="12">#REF!</definedName>
    <definedName name="____20_49" localSheetId="4">#REF!</definedName>
    <definedName name="____20_49" localSheetId="6">#REF!</definedName>
    <definedName name="____20_49" localSheetId="7">#REF!</definedName>
    <definedName name="____20_49">#REF!</definedName>
    <definedName name="____200_499" localSheetId="12">#REF!</definedName>
    <definedName name="____200_499" localSheetId="4">#REF!</definedName>
    <definedName name="____200_499" localSheetId="6">#REF!</definedName>
    <definedName name="____200_499" localSheetId="7">#REF!</definedName>
    <definedName name="____200_499">#REF!</definedName>
    <definedName name="____3" localSheetId="12">#REF!</definedName>
    <definedName name="____3" localSheetId="4">#REF!</definedName>
    <definedName name="____3" localSheetId="6">#REF!</definedName>
    <definedName name="____3" localSheetId="7">#REF!</definedName>
    <definedName name="____3">#REF!</definedName>
    <definedName name="____4" localSheetId="12">#REF!</definedName>
    <definedName name="____4" localSheetId="4">#REF!</definedName>
    <definedName name="____4" localSheetId="6">#REF!</definedName>
    <definedName name="____4" localSheetId="7">#REF!</definedName>
    <definedName name="____4">#REF!</definedName>
    <definedName name="____5" localSheetId="12">#REF!</definedName>
    <definedName name="____5" localSheetId="4">#REF!</definedName>
    <definedName name="____5" localSheetId="6">#REF!</definedName>
    <definedName name="____5" localSheetId="7">#REF!</definedName>
    <definedName name="____5">#REF!</definedName>
    <definedName name="____50_99" localSheetId="12">#REF!</definedName>
    <definedName name="____50_99" localSheetId="4">#REF!</definedName>
    <definedName name="____50_99" localSheetId="6">#REF!</definedName>
    <definedName name="____50_99" localSheetId="7">#REF!</definedName>
    <definedName name="____50_99">#REF!</definedName>
    <definedName name="____500_1999" localSheetId="12">#REF!</definedName>
    <definedName name="____500_1999" localSheetId="4">#REF!</definedName>
    <definedName name="____500_1999" localSheetId="6">#REF!</definedName>
    <definedName name="____500_1999" localSheetId="7">#REF!</definedName>
    <definedName name="____500_1999">#REF!</definedName>
    <definedName name="____6" localSheetId="12">#REF!</definedName>
    <definedName name="____6" localSheetId="4">#REF!</definedName>
    <definedName name="____6" localSheetId="6">#REF!</definedName>
    <definedName name="____6" localSheetId="7">#REF!</definedName>
    <definedName name="____6">#REF!</definedName>
    <definedName name="____7" localSheetId="12">#REF!</definedName>
    <definedName name="____7" localSheetId="4">#REF!</definedName>
    <definedName name="____7" localSheetId="6">#REF!</definedName>
    <definedName name="____7" localSheetId="7">#REF!</definedName>
    <definedName name="____7">#REF!</definedName>
    <definedName name="____8" localSheetId="12">#REF!</definedName>
    <definedName name="____8" localSheetId="4">#REF!</definedName>
    <definedName name="____8" localSheetId="6">#REF!</definedName>
    <definedName name="____8" localSheetId="7">#REF!</definedName>
    <definedName name="____8">#REF!</definedName>
    <definedName name="___JAD11" localSheetId="12">#REF!</definedName>
    <definedName name="___JAD11" localSheetId="4">#REF!</definedName>
    <definedName name="___JAD11" localSheetId="6">#REF!</definedName>
    <definedName name="___JAD11" localSheetId="7">#REF!</definedName>
    <definedName name="___JAD11">#REF!</definedName>
    <definedName name="___JAD12" localSheetId="12">#REF!</definedName>
    <definedName name="___JAD12" localSheetId="4">#REF!</definedName>
    <definedName name="___JAD12" localSheetId="6">#REF!</definedName>
    <definedName name="___JAD12" localSheetId="7">#REF!</definedName>
    <definedName name="___JAD12">#REF!</definedName>
    <definedName name="__2" localSheetId="12">#REF!</definedName>
    <definedName name="__2" localSheetId="4">#REF!</definedName>
    <definedName name="__2" localSheetId="6">#REF!</definedName>
    <definedName name="__2" localSheetId="7">#REF!</definedName>
    <definedName name="__2">#REF!</definedName>
    <definedName name="__20_49" localSheetId="12">#REF!</definedName>
    <definedName name="__20_49" localSheetId="4">#REF!</definedName>
    <definedName name="__20_49" localSheetId="6">#REF!</definedName>
    <definedName name="__20_49" localSheetId="7">#REF!</definedName>
    <definedName name="__20_49">#REF!</definedName>
    <definedName name="__200_499" localSheetId="12">#REF!</definedName>
    <definedName name="__200_499" localSheetId="4">#REF!</definedName>
    <definedName name="__200_499" localSheetId="6">#REF!</definedName>
    <definedName name="__200_499" localSheetId="7">#REF!</definedName>
    <definedName name="__200_499">#REF!</definedName>
    <definedName name="__3" localSheetId="12">#REF!</definedName>
    <definedName name="__3" localSheetId="4">#REF!</definedName>
    <definedName name="__3" localSheetId="6">#REF!</definedName>
    <definedName name="__3" localSheetId="7">#REF!</definedName>
    <definedName name="__3">#REF!</definedName>
    <definedName name="__4" localSheetId="12">#REF!</definedName>
    <definedName name="__4" localSheetId="4">#REF!</definedName>
    <definedName name="__4" localSheetId="6">#REF!</definedName>
    <definedName name="__4" localSheetId="7">#REF!</definedName>
    <definedName name="__4">#REF!</definedName>
    <definedName name="__5" localSheetId="12">#REF!</definedName>
    <definedName name="__5" localSheetId="4">#REF!</definedName>
    <definedName name="__5" localSheetId="6">#REF!</definedName>
    <definedName name="__5" localSheetId="7">#REF!</definedName>
    <definedName name="__5">#REF!</definedName>
    <definedName name="__50_99" localSheetId="12">#REF!</definedName>
    <definedName name="__50_99" localSheetId="4">#REF!</definedName>
    <definedName name="__50_99" localSheetId="6">#REF!</definedName>
    <definedName name="__50_99" localSheetId="7">#REF!</definedName>
    <definedName name="__50_99">#REF!</definedName>
    <definedName name="__500_1999" localSheetId="12">#REF!</definedName>
    <definedName name="__500_1999" localSheetId="4">#REF!</definedName>
    <definedName name="__500_1999" localSheetId="6">#REF!</definedName>
    <definedName name="__500_1999" localSheetId="7">#REF!</definedName>
    <definedName name="__500_1999">#REF!</definedName>
    <definedName name="__6" localSheetId="12">#REF!</definedName>
    <definedName name="__6" localSheetId="4">#REF!</definedName>
    <definedName name="__6" localSheetId="6">#REF!</definedName>
    <definedName name="__6" localSheetId="7">#REF!</definedName>
    <definedName name="__6">#REF!</definedName>
    <definedName name="__7" localSheetId="12">#REF!</definedName>
    <definedName name="__7" localSheetId="4">#REF!</definedName>
    <definedName name="__7" localSheetId="6">#REF!</definedName>
    <definedName name="__7" localSheetId="7">#REF!</definedName>
    <definedName name="__7">#REF!</definedName>
    <definedName name="__8" localSheetId="12">#REF!</definedName>
    <definedName name="__8" localSheetId="4">#REF!</definedName>
    <definedName name="__8" localSheetId="6">#REF!</definedName>
    <definedName name="__8" localSheetId="7">#REF!</definedName>
    <definedName name="__8">#REF!</definedName>
    <definedName name="__JAD11" localSheetId="12">#REF!</definedName>
    <definedName name="__JAD11" localSheetId="4">#REF!</definedName>
    <definedName name="__JAD11" localSheetId="6">#REF!</definedName>
    <definedName name="__JAD11" localSheetId="7">#REF!</definedName>
    <definedName name="__JAD11">#REF!</definedName>
    <definedName name="__JAD12" localSheetId="12">#REF!</definedName>
    <definedName name="__JAD12" localSheetId="4">#REF!</definedName>
    <definedName name="__JAD12" localSheetId="6">#REF!</definedName>
    <definedName name="__JAD12" localSheetId="7">#REF!</definedName>
    <definedName name="__JAD12">#REF!</definedName>
    <definedName name="_1_1999" localSheetId="12">#REF!</definedName>
    <definedName name="_1_1999" localSheetId="4">#REF!</definedName>
    <definedName name="_1_1999" localSheetId="6">#REF!</definedName>
    <definedName name="_1_1999" localSheetId="7">#REF!</definedName>
    <definedName name="_1_1999">#REF!</definedName>
    <definedName name="_1_2000" localSheetId="12">#REF!</definedName>
    <definedName name="_1_2000" localSheetId="4">#REF!</definedName>
    <definedName name="_1_2000" localSheetId="6">#REF!</definedName>
    <definedName name="_1_2000" localSheetId="7">#REF!</definedName>
    <definedName name="_1_2000">#REF!</definedName>
    <definedName name="_10_3" localSheetId="12">#REF!</definedName>
    <definedName name="_10_3" localSheetId="4">#REF!</definedName>
    <definedName name="_10_3" localSheetId="6">#REF!</definedName>
    <definedName name="_10_3" localSheetId="7">#REF!</definedName>
    <definedName name="_10_3">#REF!</definedName>
    <definedName name="_10_6" localSheetId="12">#REF!</definedName>
    <definedName name="_10_6" localSheetId="4">#REF!</definedName>
    <definedName name="_10_6" localSheetId="6">#REF!</definedName>
    <definedName name="_10_6" localSheetId="7">#REF!</definedName>
    <definedName name="_10_6">#REF!</definedName>
    <definedName name="_10Excel_BuiltIn_Print_Area_4_1" localSheetId="12">#REF!</definedName>
    <definedName name="_10Excel_BuiltIn_Print_Area_4_1" localSheetId="4">#REF!</definedName>
    <definedName name="_10Excel_BuiltIn_Print_Area_4_1" localSheetId="6">#REF!</definedName>
    <definedName name="_10Excel_BuiltIn_Print_Area_4_1" localSheetId="7">#REF!</definedName>
    <definedName name="_10Excel_BuiltIn_Print_Area_4_1">#REF!</definedName>
    <definedName name="_11_7" localSheetId="12">#REF!</definedName>
    <definedName name="_11_7" localSheetId="4">#REF!</definedName>
    <definedName name="_11_7" localSheetId="6">#REF!</definedName>
    <definedName name="_11_7" localSheetId="7">#REF!</definedName>
    <definedName name="_11_7">#REF!</definedName>
    <definedName name="_11_8" localSheetId="12">#REF!</definedName>
    <definedName name="_11_8" localSheetId="4">#REF!</definedName>
    <definedName name="_11_8" localSheetId="6">#REF!</definedName>
    <definedName name="_11_8" localSheetId="7">#REF!</definedName>
    <definedName name="_11_8">#REF!</definedName>
    <definedName name="_12_200_499" localSheetId="12">#REF!</definedName>
    <definedName name="_12_200_499" localSheetId="4">#REF!</definedName>
    <definedName name="_12_200_499" localSheetId="6">#REF!</definedName>
    <definedName name="_12_200_499" localSheetId="7">#REF!</definedName>
    <definedName name="_12_200_499">#REF!</definedName>
    <definedName name="_12_4" localSheetId="12">#REF!</definedName>
    <definedName name="_12_4" localSheetId="4">#REF!</definedName>
    <definedName name="_12_4" localSheetId="6">#REF!</definedName>
    <definedName name="_12_4" localSheetId="7">#REF!</definedName>
    <definedName name="_12_4">#REF!</definedName>
    <definedName name="_12_8" localSheetId="12">#REF!</definedName>
    <definedName name="_12_8" localSheetId="4">#REF!</definedName>
    <definedName name="_12_8" localSheetId="6">#REF!</definedName>
    <definedName name="_12_8" localSheetId="7">#REF!</definedName>
    <definedName name="_12_8">#REF!</definedName>
    <definedName name="_14_5" localSheetId="12">#REF!</definedName>
    <definedName name="_14_5" localSheetId="4">#REF!</definedName>
    <definedName name="_14_5" localSheetId="6">#REF!</definedName>
    <definedName name="_14_5" localSheetId="7">#REF!</definedName>
    <definedName name="_14_5">#REF!</definedName>
    <definedName name="_15_3" localSheetId="12">#REF!</definedName>
    <definedName name="_15_3" localSheetId="4">#REF!</definedName>
    <definedName name="_15_3" localSheetId="6">#REF!</definedName>
    <definedName name="_15_3" localSheetId="7">#REF!</definedName>
    <definedName name="_15_3">#REF!</definedName>
    <definedName name="_15Excel_BuiltIn_Print_Area_5_1" localSheetId="12">#REF!</definedName>
    <definedName name="_15Excel_BuiltIn_Print_Area_5_1" localSheetId="4">#REF!</definedName>
    <definedName name="_15Excel_BuiltIn_Print_Area_5_1" localSheetId="6">#REF!</definedName>
    <definedName name="_15Excel_BuiltIn_Print_Area_5_1" localSheetId="7">#REF!</definedName>
    <definedName name="_15Excel_BuiltIn_Print_Area_5_1">#REF!</definedName>
    <definedName name="_16_50_99" localSheetId="12">#REF!</definedName>
    <definedName name="_16_50_99" localSheetId="4">#REF!</definedName>
    <definedName name="_16_50_99" localSheetId="6">#REF!</definedName>
    <definedName name="_16_50_99" localSheetId="7">#REF!</definedName>
    <definedName name="_16_50_99">#REF!</definedName>
    <definedName name="_18_4" localSheetId="12">#REF!</definedName>
    <definedName name="_18_4" localSheetId="4">#REF!</definedName>
    <definedName name="_18_4" localSheetId="6">#REF!</definedName>
    <definedName name="_18_4" localSheetId="7">#REF!</definedName>
    <definedName name="_18_4">#REF!</definedName>
    <definedName name="_18_500_1999" localSheetId="12">#REF!</definedName>
    <definedName name="_18_500_1999" localSheetId="4">#REF!</definedName>
    <definedName name="_18_500_1999" localSheetId="6">#REF!</definedName>
    <definedName name="_18_500_1999" localSheetId="7">#REF!</definedName>
    <definedName name="_18_500_1999">#REF!</definedName>
    <definedName name="_2" localSheetId="12">#REF!</definedName>
    <definedName name="_2" localSheetId="4">#REF!</definedName>
    <definedName name="_2" localSheetId="6">#REF!</definedName>
    <definedName name="_2" localSheetId="7">#REF!</definedName>
    <definedName name="_2">#REF!</definedName>
    <definedName name="_2_1999" localSheetId="12">#REF!</definedName>
    <definedName name="_2_1999" localSheetId="4">#REF!</definedName>
    <definedName name="_2_1999" localSheetId="6">#REF!</definedName>
    <definedName name="_2_1999" localSheetId="7">#REF!</definedName>
    <definedName name="_2_1999">#REF!</definedName>
    <definedName name="_2_2" localSheetId="12">#REF!</definedName>
    <definedName name="_2_2" localSheetId="4">#REF!</definedName>
    <definedName name="_2_2" localSheetId="6">#REF!</definedName>
    <definedName name="_2_2" localSheetId="7">#REF!</definedName>
    <definedName name="_2_2">#REF!</definedName>
    <definedName name="_20_49" localSheetId="12">#REF!</definedName>
    <definedName name="_20_49" localSheetId="4">#REF!</definedName>
    <definedName name="_20_49" localSheetId="6">#REF!</definedName>
    <definedName name="_20_49" localSheetId="7">#REF!</definedName>
    <definedName name="_20_49">#REF!</definedName>
    <definedName name="_20_6" localSheetId="12">#REF!</definedName>
    <definedName name="_20_6" localSheetId="4">#REF!</definedName>
    <definedName name="_20_6" localSheetId="6">#REF!</definedName>
    <definedName name="_20_6" localSheetId="7">#REF!</definedName>
    <definedName name="_20_6">#REF!</definedName>
    <definedName name="_200_499" localSheetId="12">#REF!</definedName>
    <definedName name="_200_499" localSheetId="4">#REF!</definedName>
    <definedName name="_200_499" localSheetId="6">#REF!</definedName>
    <definedName name="_200_499" localSheetId="7">#REF!</definedName>
    <definedName name="_200_499">#REF!</definedName>
    <definedName name="_20Excel_BuiltIn_Print_Area_6_1" localSheetId="12">#REF!</definedName>
    <definedName name="_20Excel_BuiltIn_Print_Area_6_1" localSheetId="4">#REF!</definedName>
    <definedName name="_20Excel_BuiltIn_Print_Area_6_1" localSheetId="6">#REF!</definedName>
    <definedName name="_20Excel_BuiltIn_Print_Area_6_1" localSheetId="7">#REF!</definedName>
    <definedName name="_20Excel_BuiltIn_Print_Area_6_1">#REF!</definedName>
    <definedName name="_21_5" localSheetId="12">#REF!</definedName>
    <definedName name="_21_5" localSheetId="4">#REF!</definedName>
    <definedName name="_21_5" localSheetId="6">#REF!</definedName>
    <definedName name="_21_5" localSheetId="7">#REF!</definedName>
    <definedName name="_21_5">#REF!</definedName>
    <definedName name="_21Excel_BuiltIn_Print_Titles_2_1" localSheetId="12">[1]Perlis!#REF!</definedName>
    <definedName name="_21Excel_BuiltIn_Print_Titles_2_1" localSheetId="4">[1]Perlis!#REF!</definedName>
    <definedName name="_21Excel_BuiltIn_Print_Titles_2_1" localSheetId="6">[1]Perlis!#REF!</definedName>
    <definedName name="_21Excel_BuiltIn_Print_Titles_2_1" localSheetId="7">[1]Perlis!#REF!</definedName>
    <definedName name="_21Excel_BuiltIn_Print_Titles_2_1">[1]Perlis!#REF!</definedName>
    <definedName name="_22_7" localSheetId="2">#REF!</definedName>
    <definedName name="_22_7" localSheetId="12">#REF!</definedName>
    <definedName name="_22_7" localSheetId="4">#REF!</definedName>
    <definedName name="_22_7" localSheetId="6">#REF!</definedName>
    <definedName name="_22_7" localSheetId="7">#REF!</definedName>
    <definedName name="_22_7">#REF!</definedName>
    <definedName name="_24_50_99" localSheetId="12">#REF!</definedName>
    <definedName name="_24_50_99" localSheetId="4">#REF!</definedName>
    <definedName name="_24_50_99" localSheetId="6">#REF!</definedName>
    <definedName name="_24_50_99" localSheetId="7">#REF!</definedName>
    <definedName name="_24_50_99">#REF!</definedName>
    <definedName name="_24_8" localSheetId="12">#REF!</definedName>
    <definedName name="_24_8" localSheetId="4">#REF!</definedName>
    <definedName name="_24_8" localSheetId="6">#REF!</definedName>
    <definedName name="_24_8" localSheetId="7">#REF!</definedName>
    <definedName name="_24_8">#REF!</definedName>
    <definedName name="_26Excel_BuiltIn_Print_Titles_4_1" localSheetId="12">#REF!</definedName>
    <definedName name="_26Excel_BuiltIn_Print_Titles_4_1" localSheetId="4">#REF!</definedName>
    <definedName name="_26Excel_BuiltIn_Print_Titles_4_1" localSheetId="6">#REF!</definedName>
    <definedName name="_26Excel_BuiltIn_Print_Titles_4_1" localSheetId="7">#REF!</definedName>
    <definedName name="_26Excel_BuiltIn_Print_Titles_4_1">#REF!</definedName>
    <definedName name="_27_500_1999" localSheetId="12">#REF!</definedName>
    <definedName name="_27_500_1999" localSheetId="4">#REF!</definedName>
    <definedName name="_27_500_1999" localSheetId="6">#REF!</definedName>
    <definedName name="_27_500_1999" localSheetId="7">#REF!</definedName>
    <definedName name="_27_500_1999">#REF!</definedName>
    <definedName name="_3" localSheetId="12">#REF!</definedName>
    <definedName name="_3" localSheetId="4">#REF!</definedName>
    <definedName name="_3" localSheetId="6">#REF!</definedName>
    <definedName name="_3" localSheetId="7">#REF!</definedName>
    <definedName name="_3">#REF!</definedName>
    <definedName name="_3_1999" localSheetId="12">#REF!</definedName>
    <definedName name="_3_1999" localSheetId="4">#REF!</definedName>
    <definedName name="_3_1999" localSheetId="6">#REF!</definedName>
    <definedName name="_3_1999" localSheetId="7">#REF!</definedName>
    <definedName name="_3_1999">#REF!</definedName>
    <definedName name="_3_20_49" localSheetId="12">#REF!</definedName>
    <definedName name="_3_20_49" localSheetId="4">#REF!</definedName>
    <definedName name="_3_20_49" localSheetId="6">#REF!</definedName>
    <definedName name="_3_20_49" localSheetId="7">#REF!</definedName>
    <definedName name="_3_20_49">#REF!</definedName>
    <definedName name="_30_6" localSheetId="12">#REF!</definedName>
    <definedName name="_30_6" localSheetId="4">#REF!</definedName>
    <definedName name="_30_6" localSheetId="6">#REF!</definedName>
    <definedName name="_30_6" localSheetId="7">#REF!</definedName>
    <definedName name="_30_6">#REF!</definedName>
    <definedName name="_31Excel_BuiltIn_Print_Titles_6_1" localSheetId="12">#REF!</definedName>
    <definedName name="_31Excel_BuiltIn_Print_Titles_6_1" localSheetId="4">#REF!</definedName>
    <definedName name="_31Excel_BuiltIn_Print_Titles_6_1" localSheetId="6">#REF!</definedName>
    <definedName name="_31Excel_BuiltIn_Print_Titles_6_1" localSheetId="7">#REF!</definedName>
    <definedName name="_31Excel_BuiltIn_Print_Titles_6_1">#REF!</definedName>
    <definedName name="_33_7" localSheetId="12">#REF!</definedName>
    <definedName name="_33_7" localSheetId="4">#REF!</definedName>
    <definedName name="_33_7" localSheetId="6">#REF!</definedName>
    <definedName name="_33_7" localSheetId="7">#REF!</definedName>
    <definedName name="_33_7">#REF!</definedName>
    <definedName name="_36_8" localSheetId="12">#REF!</definedName>
    <definedName name="_36_8" localSheetId="4">#REF!</definedName>
    <definedName name="_36_8" localSheetId="6">#REF!</definedName>
    <definedName name="_36_8" localSheetId="7">#REF!</definedName>
    <definedName name="_36_8">#REF!</definedName>
    <definedName name="_4" localSheetId="12">#REF!</definedName>
    <definedName name="_4" localSheetId="4">#REF!</definedName>
    <definedName name="_4" localSheetId="6">#REF!</definedName>
    <definedName name="_4" localSheetId="7">#REF!</definedName>
    <definedName name="_4">#REF!</definedName>
    <definedName name="_4_2" localSheetId="12">#REF!</definedName>
    <definedName name="_4_2" localSheetId="4">#REF!</definedName>
    <definedName name="_4_2" localSheetId="6">#REF!</definedName>
    <definedName name="_4_2" localSheetId="7">#REF!</definedName>
    <definedName name="_4_2">#REF!</definedName>
    <definedName name="_4_200_499" localSheetId="12">#REF!</definedName>
    <definedName name="_4_200_499" localSheetId="4">#REF!</definedName>
    <definedName name="_4_200_499" localSheetId="6">#REF!</definedName>
    <definedName name="_4_200_499" localSheetId="7">#REF!</definedName>
    <definedName name="_4_200_499">#REF!</definedName>
    <definedName name="_5" localSheetId="12">#REF!</definedName>
    <definedName name="_5" localSheetId="4">#REF!</definedName>
    <definedName name="_5" localSheetId="6">#REF!</definedName>
    <definedName name="_5" localSheetId="7">#REF!</definedName>
    <definedName name="_5">#REF!</definedName>
    <definedName name="_5_3" localSheetId="12">#REF!</definedName>
    <definedName name="_5_3" localSheetId="4">#REF!</definedName>
    <definedName name="_5_3" localSheetId="6">#REF!</definedName>
    <definedName name="_5_3" localSheetId="7">#REF!</definedName>
    <definedName name="_5_3">#REF!</definedName>
    <definedName name="_50_99" localSheetId="12">#REF!</definedName>
    <definedName name="_50_99" localSheetId="4">#REF!</definedName>
    <definedName name="_50_99" localSheetId="6">#REF!</definedName>
    <definedName name="_50_99" localSheetId="7">#REF!</definedName>
    <definedName name="_50_99">#REF!</definedName>
    <definedName name="_500_1999" localSheetId="12">#REF!</definedName>
    <definedName name="_500_1999" localSheetId="4">#REF!</definedName>
    <definedName name="_500_1999" localSheetId="6">#REF!</definedName>
    <definedName name="_500_1999" localSheetId="7">#REF!</definedName>
    <definedName name="_500_1999">#REF!</definedName>
    <definedName name="_5Excel_BuiltIn_Print_Area_1_1" localSheetId="12">#REF!</definedName>
    <definedName name="_5Excel_BuiltIn_Print_Area_1_1" localSheetId="4">#REF!</definedName>
    <definedName name="_5Excel_BuiltIn_Print_Area_1_1" localSheetId="6">#REF!</definedName>
    <definedName name="_5Excel_BuiltIn_Print_Area_1_1" localSheetId="7">#REF!</definedName>
    <definedName name="_5Excel_BuiltIn_Print_Area_1_1">#REF!</definedName>
    <definedName name="_6" localSheetId="12">#REF!</definedName>
    <definedName name="_6" localSheetId="4">#REF!</definedName>
    <definedName name="_6" localSheetId="6">#REF!</definedName>
    <definedName name="_6" localSheetId="7">#REF!</definedName>
    <definedName name="_6">#REF!</definedName>
    <definedName name="_6_2" localSheetId="12">#REF!</definedName>
    <definedName name="_6_2" localSheetId="4">#REF!</definedName>
    <definedName name="_6_2" localSheetId="6">#REF!</definedName>
    <definedName name="_6_2" localSheetId="7">#REF!</definedName>
    <definedName name="_6_2">#REF!</definedName>
    <definedName name="_6_20_49" localSheetId="12">#REF!</definedName>
    <definedName name="_6_20_49" localSheetId="4">#REF!</definedName>
    <definedName name="_6_20_49" localSheetId="6">#REF!</definedName>
    <definedName name="_6_20_49" localSheetId="7">#REF!</definedName>
    <definedName name="_6_20_49">#REF!</definedName>
    <definedName name="_6_4" localSheetId="12">#REF!</definedName>
    <definedName name="_6_4" localSheetId="4">#REF!</definedName>
    <definedName name="_6_4" localSheetId="6">#REF!</definedName>
    <definedName name="_6_4" localSheetId="7">#REF!</definedName>
    <definedName name="_6_4">#REF!</definedName>
    <definedName name="_7" localSheetId="12">#REF!</definedName>
    <definedName name="_7" localSheetId="4">#REF!</definedName>
    <definedName name="_7" localSheetId="6">#REF!</definedName>
    <definedName name="_7" localSheetId="7">#REF!</definedName>
    <definedName name="_7">#REF!</definedName>
    <definedName name="_7_5" localSheetId="12">#REF!</definedName>
    <definedName name="_7_5" localSheetId="4">#REF!</definedName>
    <definedName name="_7_5" localSheetId="6">#REF!</definedName>
    <definedName name="_7_5" localSheetId="7">#REF!</definedName>
    <definedName name="_7_5">#REF!</definedName>
    <definedName name="_8" localSheetId="12">#REF!</definedName>
    <definedName name="_8" localSheetId="4">#REF!</definedName>
    <definedName name="_8" localSheetId="6">#REF!</definedName>
    <definedName name="_8" localSheetId="7">#REF!</definedName>
    <definedName name="_8">#REF!</definedName>
    <definedName name="_8_200_499" localSheetId="12">#REF!</definedName>
    <definedName name="_8_200_499" localSheetId="4">#REF!</definedName>
    <definedName name="_8_200_499" localSheetId="6">#REF!</definedName>
    <definedName name="_8_200_499" localSheetId="7">#REF!</definedName>
    <definedName name="_8_200_499">#REF!</definedName>
    <definedName name="_8_50_99" localSheetId="12">#REF!</definedName>
    <definedName name="_8_50_99" localSheetId="4">#REF!</definedName>
    <definedName name="_8_50_99" localSheetId="6">#REF!</definedName>
    <definedName name="_8_50_99" localSheetId="7">#REF!</definedName>
    <definedName name="_8_50_99">#REF!</definedName>
    <definedName name="_9_20_49" localSheetId="12">#REF!</definedName>
    <definedName name="_9_20_49" localSheetId="4">#REF!</definedName>
    <definedName name="_9_20_49" localSheetId="6">#REF!</definedName>
    <definedName name="_9_20_49" localSheetId="7">#REF!</definedName>
    <definedName name="_9_20_49">#REF!</definedName>
    <definedName name="_9_500_1999" localSheetId="12">#REF!</definedName>
    <definedName name="_9_500_1999" localSheetId="4">#REF!</definedName>
    <definedName name="_9_500_1999" localSheetId="6">#REF!</definedName>
    <definedName name="_9_500_1999" localSheetId="7">#REF!</definedName>
    <definedName name="_9_500_1999">#REF!</definedName>
    <definedName name="_Dist_Values" localSheetId="12" hidden="1">[2]bysector!#REF!</definedName>
    <definedName name="_Dist_Values" localSheetId="4" hidden="1">[2]bysector!#REF!</definedName>
    <definedName name="_Dist_Values" localSheetId="6" hidden="1">[2]bysector!#REF!</definedName>
    <definedName name="_Dist_Values" localSheetId="7" hidden="1">[2]bysector!#REF!</definedName>
    <definedName name="_Dist_Values" hidden="1">[2]bysector!#REF!</definedName>
    <definedName name="_Fill" localSheetId="2" hidden="1">#REF!</definedName>
    <definedName name="_Fill" localSheetId="12" hidden="1">#REF!</definedName>
    <definedName name="_Fill" localSheetId="4" hidden="1">#REF!</definedName>
    <definedName name="_Fill" localSheetId="6" hidden="1">#REF!</definedName>
    <definedName name="_Fill" localSheetId="7" hidden="1">#REF!</definedName>
    <definedName name="_Fill" hidden="1">#REF!</definedName>
    <definedName name="_xlnm._FilterDatabase" localSheetId="6" hidden="1">'Jadual 8'!$A$20:$F$32</definedName>
    <definedName name="_JAD11" localSheetId="2">#REF!</definedName>
    <definedName name="_JAD11" localSheetId="12">#REF!</definedName>
    <definedName name="_JAD11" localSheetId="4">#REF!</definedName>
    <definedName name="_JAD11" localSheetId="6">#REF!</definedName>
    <definedName name="_JAD11" localSheetId="7">#REF!</definedName>
    <definedName name="_JAD11">#REF!</definedName>
    <definedName name="_JAD12" localSheetId="12">#REF!</definedName>
    <definedName name="_JAD12" localSheetId="4">#REF!</definedName>
    <definedName name="_JAD12" localSheetId="6">#REF!</definedName>
    <definedName name="_JAD12" localSheetId="7">#REF!</definedName>
    <definedName name="_JAD12">#REF!</definedName>
    <definedName name="a" localSheetId="12">#REF!</definedName>
    <definedName name="a" localSheetId="4">#REF!</definedName>
    <definedName name="a" localSheetId="6">#REF!</definedName>
    <definedName name="a" localSheetId="7">#REF!</definedName>
    <definedName name="a">#REF!</definedName>
    <definedName name="AA" localSheetId="12">#REF!</definedName>
    <definedName name="AA" localSheetId="4">#REF!</definedName>
    <definedName name="AA" localSheetId="6">#REF!</definedName>
    <definedName name="AA" localSheetId="7">#REF!</definedName>
    <definedName name="AA">#REF!</definedName>
    <definedName name="AIT" localSheetId="12">#REF!</definedName>
    <definedName name="AIT" localSheetId="4">#REF!</definedName>
    <definedName name="AIT" localSheetId="6">#REF!</definedName>
    <definedName name="AIT" localSheetId="7">#REF!</definedName>
    <definedName name="AIT">#REF!</definedName>
    <definedName name="aku" localSheetId="12">#REF!</definedName>
    <definedName name="aku" localSheetId="4">#REF!</definedName>
    <definedName name="aku" localSheetId="6">#REF!</definedName>
    <definedName name="aku" localSheetId="7">#REF!</definedName>
    <definedName name="aku">#REF!</definedName>
    <definedName name="anu" localSheetId="12">#REF!</definedName>
    <definedName name="anu" localSheetId="4">#REF!</definedName>
    <definedName name="anu" localSheetId="6">#REF!</definedName>
    <definedName name="anu" localSheetId="7">#REF!</definedName>
    <definedName name="anu">#REF!</definedName>
    <definedName name="ASER" localSheetId="12">#REF!</definedName>
    <definedName name="ASER" localSheetId="4">#REF!</definedName>
    <definedName name="ASER" localSheetId="6">#REF!</definedName>
    <definedName name="ASER" localSheetId="7">#REF!</definedName>
    <definedName name="ASER">#REF!</definedName>
    <definedName name="Asset91" localSheetId="12">#REF!</definedName>
    <definedName name="Asset91" localSheetId="4">#REF!</definedName>
    <definedName name="Asset91" localSheetId="6">#REF!</definedName>
    <definedName name="Asset91" localSheetId="7">#REF!</definedName>
    <definedName name="Asset91">#REF!</definedName>
    <definedName name="Asset92" localSheetId="12">#REF!</definedName>
    <definedName name="Asset92" localSheetId="4">#REF!</definedName>
    <definedName name="Asset92" localSheetId="6">#REF!</definedName>
    <definedName name="Asset92" localSheetId="7">#REF!</definedName>
    <definedName name="Asset92">#REF!</definedName>
    <definedName name="B" localSheetId="12">#REF!</definedName>
    <definedName name="B" localSheetId="4">#REF!</definedName>
    <definedName name="B" localSheetId="6">#REF!</definedName>
    <definedName name="B" localSheetId="7">#REF!</definedName>
    <definedName name="B">#REF!</definedName>
    <definedName name="bapak" localSheetId="12">#REF!</definedName>
    <definedName name="bapak" localSheetId="4">#REF!</definedName>
    <definedName name="bapak" localSheetId="6">#REF!</definedName>
    <definedName name="bapak" localSheetId="7">#REF!</definedName>
    <definedName name="bapak">#REF!</definedName>
    <definedName name="bjhgj" localSheetId="12">#REF!</definedName>
    <definedName name="bjhgj" localSheetId="4">#REF!</definedName>
    <definedName name="bjhgj" localSheetId="6">#REF!</definedName>
    <definedName name="bjhgj" localSheetId="7">#REF!</definedName>
    <definedName name="bjhgj">#REF!</definedName>
    <definedName name="cc" localSheetId="12">#REF!</definedName>
    <definedName name="cc" localSheetId="4">#REF!</definedName>
    <definedName name="cc" localSheetId="6">#REF!</definedName>
    <definedName name="cc" localSheetId="7">#REF!</definedName>
    <definedName name="cc">#REF!</definedName>
    <definedName name="d" localSheetId="12">#REF!</definedName>
    <definedName name="d" localSheetId="4">#REF!</definedName>
    <definedName name="d" localSheetId="6">#REF!</definedName>
    <definedName name="d" localSheetId="7">#REF!</definedName>
    <definedName name="d">#REF!</definedName>
    <definedName name="data" localSheetId="12">#REF!</definedName>
    <definedName name="data" localSheetId="4">#REF!</definedName>
    <definedName name="data" localSheetId="6">#REF!</definedName>
    <definedName name="data" localSheetId="7">#REF!</definedName>
    <definedName name="data">#REF!</definedName>
    <definedName name="dd" localSheetId="12">#REF!</definedName>
    <definedName name="dd" localSheetId="4">#REF!</definedName>
    <definedName name="dd" localSheetId="6">#REF!</definedName>
    <definedName name="dd" localSheetId="7">#REF!</definedName>
    <definedName name="dd">#REF!</definedName>
    <definedName name="dfvsd" localSheetId="12">#REF!</definedName>
    <definedName name="dfvsd" localSheetId="4">#REF!</definedName>
    <definedName name="dfvsd" localSheetId="6">#REF!</definedName>
    <definedName name="dfvsd" localSheetId="7">#REF!</definedName>
    <definedName name="dfvsd">#REF!</definedName>
    <definedName name="ds" localSheetId="12">#REF!</definedName>
    <definedName name="ds" localSheetId="4">#REF!</definedName>
    <definedName name="ds" localSheetId="6">#REF!</definedName>
    <definedName name="ds" localSheetId="7">#REF!</definedName>
    <definedName name="ds">#REF!</definedName>
    <definedName name="EHR" localSheetId="12">#REF!</definedName>
    <definedName name="EHR" localSheetId="4">#REF!</definedName>
    <definedName name="EHR" localSheetId="6">#REF!</definedName>
    <definedName name="EHR" localSheetId="7">#REF!</definedName>
    <definedName name="EHR">#REF!</definedName>
    <definedName name="EKS_A1">[3]Sheet1!$A$1:$N$2</definedName>
    <definedName name="EKS_A2_B">[4]asal!$A$1:$H$58</definedName>
    <definedName name="EKS_A3_B" localSheetId="2">#REF!</definedName>
    <definedName name="EKS_A3_B" localSheetId="12">#REF!</definedName>
    <definedName name="EKS_A3_B" localSheetId="4">#REF!</definedName>
    <definedName name="EKS_A3_B" localSheetId="6">#REF!</definedName>
    <definedName name="EKS_A3_B" localSheetId="7">#REF!</definedName>
    <definedName name="EKS_A3_B">#REF!</definedName>
    <definedName name="EKS_A4B" localSheetId="12">#REF!</definedName>
    <definedName name="EKS_A4B" localSheetId="4">#REF!</definedName>
    <definedName name="EKS_A4B" localSheetId="6">#REF!</definedName>
    <definedName name="EKS_A4B" localSheetId="7">#REF!</definedName>
    <definedName name="EKS_A4B">#REF!</definedName>
    <definedName name="EKS_A5_B" localSheetId="12">#REF!</definedName>
    <definedName name="EKS_A5_B" localSheetId="4">#REF!</definedName>
    <definedName name="EKS_A5_B" localSheetId="6">#REF!</definedName>
    <definedName name="EKS_A5_B" localSheetId="7">#REF!</definedName>
    <definedName name="EKS_A5_B">#REF!</definedName>
    <definedName name="ER" localSheetId="12">#REF!</definedName>
    <definedName name="ER" localSheetId="4">#REF!</definedName>
    <definedName name="ER" localSheetId="6">#REF!</definedName>
    <definedName name="ER" localSheetId="7">#REF!</definedName>
    <definedName name="ER">#REF!</definedName>
    <definedName name="Excel_BuiltIn_Print_Area_1_1" localSheetId="12">#REF!</definedName>
    <definedName name="Excel_BuiltIn_Print_Area_1_1" localSheetId="4">#REF!</definedName>
    <definedName name="Excel_BuiltIn_Print_Area_1_1" localSheetId="6">#REF!</definedName>
    <definedName name="Excel_BuiltIn_Print_Area_1_1" localSheetId="7">#REF!</definedName>
    <definedName name="Excel_BuiltIn_Print_Area_1_1">#REF!</definedName>
    <definedName name="Excel_BuiltIn_Print_Area_11" localSheetId="12">#REF!</definedName>
    <definedName name="Excel_BuiltIn_Print_Area_11" localSheetId="4">#REF!</definedName>
    <definedName name="Excel_BuiltIn_Print_Area_11" localSheetId="6">#REF!</definedName>
    <definedName name="Excel_BuiltIn_Print_Area_11" localSheetId="7">#REF!</definedName>
    <definedName name="Excel_BuiltIn_Print_Area_11">#REF!</definedName>
    <definedName name="Excel_BuiltIn_Print_Area_11_1" localSheetId="12">#REF!</definedName>
    <definedName name="Excel_BuiltIn_Print_Area_11_1" localSheetId="4">#REF!</definedName>
    <definedName name="Excel_BuiltIn_Print_Area_11_1" localSheetId="6">#REF!</definedName>
    <definedName name="Excel_BuiltIn_Print_Area_11_1" localSheetId="7">#REF!</definedName>
    <definedName name="Excel_BuiltIn_Print_Area_11_1">#REF!</definedName>
    <definedName name="Excel_BuiltIn_Print_Area_12" localSheetId="12">#REF!</definedName>
    <definedName name="Excel_BuiltIn_Print_Area_12" localSheetId="4">#REF!</definedName>
    <definedName name="Excel_BuiltIn_Print_Area_12" localSheetId="6">#REF!</definedName>
    <definedName name="Excel_BuiltIn_Print_Area_12" localSheetId="7">#REF!</definedName>
    <definedName name="Excel_BuiltIn_Print_Area_12">#REF!</definedName>
    <definedName name="Excel_BuiltIn_Print_Area_13" localSheetId="12">#REF!</definedName>
    <definedName name="Excel_BuiltIn_Print_Area_13" localSheetId="4">#REF!</definedName>
    <definedName name="Excel_BuiltIn_Print_Area_13" localSheetId="6">#REF!</definedName>
    <definedName name="Excel_BuiltIn_Print_Area_13" localSheetId="7">#REF!</definedName>
    <definedName name="Excel_BuiltIn_Print_Area_13">#REF!</definedName>
    <definedName name="Excel_BuiltIn_Print_Area_14" localSheetId="12">#REF!</definedName>
    <definedName name="Excel_BuiltIn_Print_Area_14" localSheetId="4">#REF!</definedName>
    <definedName name="Excel_BuiltIn_Print_Area_14" localSheetId="6">#REF!</definedName>
    <definedName name="Excel_BuiltIn_Print_Area_14" localSheetId="7">#REF!</definedName>
    <definedName name="Excel_BuiltIn_Print_Area_14">#REF!</definedName>
    <definedName name="Excel_BuiltIn_Print_Area_15" localSheetId="12">#REF!</definedName>
    <definedName name="Excel_BuiltIn_Print_Area_15" localSheetId="4">#REF!</definedName>
    <definedName name="Excel_BuiltIn_Print_Area_15" localSheetId="6">#REF!</definedName>
    <definedName name="Excel_BuiltIn_Print_Area_15" localSheetId="7">#REF!</definedName>
    <definedName name="Excel_BuiltIn_Print_Area_15">#REF!</definedName>
    <definedName name="Excel_BuiltIn_Print_Area_16_1" localSheetId="12">'[5]BHG B 13 - TASKA'!#REF!</definedName>
    <definedName name="Excel_BuiltIn_Print_Area_16_1" localSheetId="4">'[5]BHG B 13 - TASKA'!#REF!</definedName>
    <definedName name="Excel_BuiltIn_Print_Area_16_1" localSheetId="6">'[5]BHG B 13 - TASKA'!#REF!</definedName>
    <definedName name="Excel_BuiltIn_Print_Area_16_1" localSheetId="7">'[5]BHG B 13 - TASKA'!#REF!</definedName>
    <definedName name="Excel_BuiltIn_Print_Area_16_1">'[5]BHG B 13 - TASKA'!#REF!</definedName>
    <definedName name="Excel_BuiltIn_Print_Area_4_1" localSheetId="2">#REF!</definedName>
    <definedName name="Excel_BuiltIn_Print_Area_4_1" localSheetId="12">#REF!</definedName>
    <definedName name="Excel_BuiltIn_Print_Area_4_1" localSheetId="4">#REF!</definedName>
    <definedName name="Excel_BuiltIn_Print_Area_4_1" localSheetId="6">#REF!</definedName>
    <definedName name="Excel_BuiltIn_Print_Area_4_1" localSheetId="7">#REF!</definedName>
    <definedName name="Excel_BuiltIn_Print_Area_4_1">#REF!</definedName>
    <definedName name="Excel_BuiltIn_Print_Area_5" localSheetId="12">#REF!</definedName>
    <definedName name="Excel_BuiltIn_Print_Area_5" localSheetId="4">#REF!</definedName>
    <definedName name="Excel_BuiltIn_Print_Area_5" localSheetId="6">#REF!</definedName>
    <definedName name="Excel_BuiltIn_Print_Area_5" localSheetId="7">#REF!</definedName>
    <definedName name="Excel_BuiltIn_Print_Area_5">#REF!</definedName>
    <definedName name="Excel_BuiltIn_Print_Area_5_1" localSheetId="12">#REF!</definedName>
    <definedName name="Excel_BuiltIn_Print_Area_5_1" localSheetId="4">#REF!</definedName>
    <definedName name="Excel_BuiltIn_Print_Area_5_1" localSheetId="6">#REF!</definedName>
    <definedName name="Excel_BuiltIn_Print_Area_5_1" localSheetId="7">#REF!</definedName>
    <definedName name="Excel_BuiltIn_Print_Area_5_1">#REF!</definedName>
    <definedName name="Excel_BuiltIn_Print_Area_5_1_16" localSheetId="12">#REF!</definedName>
    <definedName name="Excel_BuiltIn_Print_Area_5_1_16" localSheetId="4">#REF!</definedName>
    <definedName name="Excel_BuiltIn_Print_Area_5_1_16" localSheetId="6">#REF!</definedName>
    <definedName name="Excel_BuiltIn_Print_Area_5_1_16" localSheetId="7">#REF!</definedName>
    <definedName name="Excel_BuiltIn_Print_Area_5_1_16">#REF!</definedName>
    <definedName name="Excel_BuiltIn_Print_Area_6_1" localSheetId="12">#REF!</definedName>
    <definedName name="Excel_BuiltIn_Print_Area_6_1" localSheetId="4">#REF!</definedName>
    <definedName name="Excel_BuiltIn_Print_Area_6_1" localSheetId="6">#REF!</definedName>
    <definedName name="Excel_BuiltIn_Print_Area_6_1" localSheetId="7">#REF!</definedName>
    <definedName name="Excel_BuiltIn_Print_Area_6_1">#REF!</definedName>
    <definedName name="Excel_BuiltIn_Print_Area_6_1_1" localSheetId="12">#REF!</definedName>
    <definedName name="Excel_BuiltIn_Print_Area_6_1_1" localSheetId="4">#REF!</definedName>
    <definedName name="Excel_BuiltIn_Print_Area_6_1_1" localSheetId="6">#REF!</definedName>
    <definedName name="Excel_BuiltIn_Print_Area_6_1_1" localSheetId="7">#REF!</definedName>
    <definedName name="Excel_BuiltIn_Print_Area_6_1_1">#REF!</definedName>
    <definedName name="Excel_BuiltIn_Print_Area_6_1_1_1" localSheetId="12">#REF!</definedName>
    <definedName name="Excel_BuiltIn_Print_Area_6_1_1_1" localSheetId="4">#REF!</definedName>
    <definedName name="Excel_BuiltIn_Print_Area_6_1_1_1" localSheetId="6">#REF!</definedName>
    <definedName name="Excel_BuiltIn_Print_Area_6_1_1_1" localSheetId="7">#REF!</definedName>
    <definedName name="Excel_BuiltIn_Print_Area_6_1_1_1">#REF!</definedName>
    <definedName name="Excel_BuiltIn_Print_Area_7" localSheetId="12">#REF!</definedName>
    <definedName name="Excel_BuiltIn_Print_Area_7" localSheetId="4">#REF!</definedName>
    <definedName name="Excel_BuiltIn_Print_Area_7" localSheetId="6">#REF!</definedName>
    <definedName name="Excel_BuiltIn_Print_Area_7" localSheetId="7">#REF!</definedName>
    <definedName name="Excel_BuiltIn_Print_Area_7">#REF!</definedName>
    <definedName name="Excel_BuiltIn_Print_Area_7_1" localSheetId="12">#REF!</definedName>
    <definedName name="Excel_BuiltIn_Print_Area_7_1" localSheetId="4">#REF!</definedName>
    <definedName name="Excel_BuiltIn_Print_Area_7_1" localSheetId="6">#REF!</definedName>
    <definedName name="Excel_BuiltIn_Print_Area_7_1" localSheetId="7">#REF!</definedName>
    <definedName name="Excel_BuiltIn_Print_Area_7_1">#REF!</definedName>
    <definedName name="Excel_BuiltIn_Print_Area_8_1" localSheetId="12">#REF!</definedName>
    <definedName name="Excel_BuiltIn_Print_Area_8_1" localSheetId="4">#REF!</definedName>
    <definedName name="Excel_BuiltIn_Print_Area_8_1" localSheetId="6">#REF!</definedName>
    <definedName name="Excel_BuiltIn_Print_Area_8_1" localSheetId="7">#REF!</definedName>
    <definedName name="Excel_BuiltIn_Print_Area_8_1">#REF!</definedName>
    <definedName name="Excel_BuiltIn_Print_Area_9_1" localSheetId="12">#REF!</definedName>
    <definedName name="Excel_BuiltIn_Print_Area_9_1" localSheetId="4">#REF!</definedName>
    <definedName name="Excel_BuiltIn_Print_Area_9_1" localSheetId="6">#REF!</definedName>
    <definedName name="Excel_BuiltIn_Print_Area_9_1" localSheetId="7">#REF!</definedName>
    <definedName name="Excel_BuiltIn_Print_Area_9_1">#REF!</definedName>
    <definedName name="Excel_BuiltIn_Print_Titles_1" localSheetId="12">#REF!</definedName>
    <definedName name="Excel_BuiltIn_Print_Titles_1" localSheetId="4">#REF!</definedName>
    <definedName name="Excel_BuiltIn_Print_Titles_1" localSheetId="6">#REF!</definedName>
    <definedName name="Excel_BuiltIn_Print_Titles_1" localSheetId="7">#REF!</definedName>
    <definedName name="Excel_BuiltIn_Print_Titles_1">#REF!</definedName>
    <definedName name="Excel_BuiltIn_Print_Titles_11" localSheetId="12">#REF!</definedName>
    <definedName name="Excel_BuiltIn_Print_Titles_11" localSheetId="4">#REF!</definedName>
    <definedName name="Excel_BuiltIn_Print_Titles_11" localSheetId="6">#REF!</definedName>
    <definedName name="Excel_BuiltIn_Print_Titles_11" localSheetId="7">#REF!</definedName>
    <definedName name="Excel_BuiltIn_Print_Titles_11">#REF!</definedName>
    <definedName name="Excel_BuiltIn_Print_Titles_12" localSheetId="12">#REF!</definedName>
    <definedName name="Excel_BuiltIn_Print_Titles_12" localSheetId="4">#REF!</definedName>
    <definedName name="Excel_BuiltIn_Print_Titles_12" localSheetId="6">#REF!</definedName>
    <definedName name="Excel_BuiltIn_Print_Titles_12" localSheetId="7">#REF!</definedName>
    <definedName name="Excel_BuiltIn_Print_Titles_12">#REF!</definedName>
    <definedName name="Excel_BuiltIn_Print_Titles_13" localSheetId="12">#REF!</definedName>
    <definedName name="Excel_BuiltIn_Print_Titles_13" localSheetId="4">#REF!</definedName>
    <definedName name="Excel_BuiltIn_Print_Titles_13" localSheetId="6">#REF!</definedName>
    <definedName name="Excel_BuiltIn_Print_Titles_13" localSheetId="7">#REF!</definedName>
    <definedName name="Excel_BuiltIn_Print_Titles_13">#REF!</definedName>
    <definedName name="Excel_BuiltIn_Print_Titles_14" localSheetId="12">#REF!</definedName>
    <definedName name="Excel_BuiltIn_Print_Titles_14" localSheetId="4">#REF!</definedName>
    <definedName name="Excel_BuiltIn_Print_Titles_14" localSheetId="6">#REF!</definedName>
    <definedName name="Excel_BuiltIn_Print_Titles_14" localSheetId="7">#REF!</definedName>
    <definedName name="Excel_BuiltIn_Print_Titles_14">#REF!</definedName>
    <definedName name="Excel_BuiltIn_Print_Titles_15" localSheetId="12">#REF!</definedName>
    <definedName name="Excel_BuiltIn_Print_Titles_15" localSheetId="4">#REF!</definedName>
    <definedName name="Excel_BuiltIn_Print_Titles_15" localSheetId="6">#REF!</definedName>
    <definedName name="Excel_BuiltIn_Print_Titles_15" localSheetId="7">#REF!</definedName>
    <definedName name="Excel_BuiltIn_Print_Titles_15">#REF!</definedName>
    <definedName name="Excel_BuiltIn_Print_Titles_2" localSheetId="12">[6]Perlis!#REF!</definedName>
    <definedName name="Excel_BuiltIn_Print_Titles_2" localSheetId="4">[6]Perlis!#REF!</definedName>
    <definedName name="Excel_BuiltIn_Print_Titles_2" localSheetId="6">[6]Perlis!#REF!</definedName>
    <definedName name="Excel_BuiltIn_Print_Titles_2" localSheetId="7">[6]Perlis!#REF!</definedName>
    <definedName name="Excel_BuiltIn_Print_Titles_2">[6]Perlis!#REF!</definedName>
    <definedName name="Excel_BuiltIn_Print_Titles_2_1" localSheetId="12">[7]Perlis!#REF!</definedName>
    <definedName name="Excel_BuiltIn_Print_Titles_2_1" localSheetId="4">[7]Perlis!#REF!</definedName>
    <definedName name="Excel_BuiltIn_Print_Titles_2_1" localSheetId="6">[7]Perlis!#REF!</definedName>
    <definedName name="Excel_BuiltIn_Print_Titles_2_1" localSheetId="7">[7]Perlis!#REF!</definedName>
    <definedName name="Excel_BuiltIn_Print_Titles_2_1">[7]Perlis!#REF!</definedName>
    <definedName name="Excel_BuiltIn_Print_Titles_2_1_16" localSheetId="12">[8]Perlis!#REF!</definedName>
    <definedName name="Excel_BuiltIn_Print_Titles_2_1_16" localSheetId="4">[8]Perlis!#REF!</definedName>
    <definedName name="Excel_BuiltIn_Print_Titles_2_1_16" localSheetId="6">[8]Perlis!#REF!</definedName>
    <definedName name="Excel_BuiltIn_Print_Titles_2_1_16" localSheetId="7">[8]Perlis!#REF!</definedName>
    <definedName name="Excel_BuiltIn_Print_Titles_2_1_16">[8]Perlis!#REF!</definedName>
    <definedName name="Excel_BuiltIn_Print_Titles_2_16" localSheetId="12">[9]Perlis!#REF!</definedName>
    <definedName name="Excel_BuiltIn_Print_Titles_2_16" localSheetId="4">[9]Perlis!#REF!</definedName>
    <definedName name="Excel_BuiltIn_Print_Titles_2_16" localSheetId="6">[9]Perlis!#REF!</definedName>
    <definedName name="Excel_BuiltIn_Print_Titles_2_16" localSheetId="7">[9]Perlis!#REF!</definedName>
    <definedName name="Excel_BuiltIn_Print_Titles_2_16">[9]Perlis!#REF!</definedName>
    <definedName name="Excel_BuiltIn_Print_Titles_2_6" localSheetId="12">[10]Perlis!#REF!</definedName>
    <definedName name="Excel_BuiltIn_Print_Titles_2_6" localSheetId="4">[10]Perlis!#REF!</definedName>
    <definedName name="Excel_BuiltIn_Print_Titles_2_6" localSheetId="6">[10]Perlis!#REF!</definedName>
    <definedName name="Excel_BuiltIn_Print_Titles_2_6" localSheetId="7">[10]Perlis!#REF!</definedName>
    <definedName name="Excel_BuiltIn_Print_Titles_2_6">[10]Perlis!#REF!</definedName>
    <definedName name="Excel_BuiltIn_Print_Titles_4_1" localSheetId="2">#REF!</definedName>
    <definedName name="Excel_BuiltIn_Print_Titles_4_1" localSheetId="12">#REF!</definedName>
    <definedName name="Excel_BuiltIn_Print_Titles_4_1" localSheetId="4">#REF!</definedName>
    <definedName name="Excel_BuiltIn_Print_Titles_4_1" localSheetId="6">#REF!</definedName>
    <definedName name="Excel_BuiltIn_Print_Titles_4_1" localSheetId="7">#REF!</definedName>
    <definedName name="Excel_BuiltIn_Print_Titles_4_1">#REF!</definedName>
    <definedName name="Excel_BuiltIn_Print_Titles_5" localSheetId="12">#REF!</definedName>
    <definedName name="Excel_BuiltIn_Print_Titles_5" localSheetId="4">#REF!</definedName>
    <definedName name="Excel_BuiltIn_Print_Titles_5" localSheetId="6">#REF!</definedName>
    <definedName name="Excel_BuiltIn_Print_Titles_5" localSheetId="7">#REF!</definedName>
    <definedName name="Excel_BuiltIn_Print_Titles_5">#REF!</definedName>
    <definedName name="Excel_BuiltIn_Print_Titles_5_16" localSheetId="12">#REF!</definedName>
    <definedName name="Excel_BuiltIn_Print_Titles_5_16" localSheetId="4">#REF!</definedName>
    <definedName name="Excel_BuiltIn_Print_Titles_5_16" localSheetId="6">#REF!</definedName>
    <definedName name="Excel_BuiltIn_Print_Titles_5_16" localSheetId="7">#REF!</definedName>
    <definedName name="Excel_BuiltIn_Print_Titles_5_16">#REF!</definedName>
    <definedName name="Excel_BuiltIn_Print_Titles_6_1" localSheetId="12">#REF!</definedName>
    <definedName name="Excel_BuiltIn_Print_Titles_6_1" localSheetId="4">#REF!</definedName>
    <definedName name="Excel_BuiltIn_Print_Titles_6_1" localSheetId="6">#REF!</definedName>
    <definedName name="Excel_BuiltIn_Print_Titles_6_1" localSheetId="7">#REF!</definedName>
    <definedName name="Excel_BuiltIn_Print_Titles_6_1">#REF!</definedName>
    <definedName name="Excel_BuiltIn_Print_Titles_7" localSheetId="12">#REF!</definedName>
    <definedName name="Excel_BuiltIn_Print_Titles_7" localSheetId="4">#REF!</definedName>
    <definedName name="Excel_BuiltIn_Print_Titles_7" localSheetId="6">#REF!</definedName>
    <definedName name="Excel_BuiltIn_Print_Titles_7" localSheetId="7">#REF!</definedName>
    <definedName name="Excel_BuiltIn_Print_Titles_7">#REF!</definedName>
    <definedName name="f" localSheetId="12">#REF!</definedName>
    <definedName name="f" localSheetId="4">#REF!</definedName>
    <definedName name="f" localSheetId="6">#REF!</definedName>
    <definedName name="f" localSheetId="7">#REF!</definedName>
    <definedName name="f">#REF!</definedName>
    <definedName name="gee" localSheetId="12">#REF!</definedName>
    <definedName name="gee" localSheetId="4">#REF!</definedName>
    <definedName name="gee" localSheetId="6">#REF!</definedName>
    <definedName name="gee" localSheetId="7">#REF!</definedName>
    <definedName name="gee">#REF!</definedName>
    <definedName name="H" localSheetId="12">#REF!</definedName>
    <definedName name="H" localSheetId="4">#REF!</definedName>
    <definedName name="H" localSheetId="6">#REF!</definedName>
    <definedName name="H" localSheetId="7">#REF!</definedName>
    <definedName name="H">#REF!</definedName>
    <definedName name="hkyio" localSheetId="12">#REF!</definedName>
    <definedName name="hkyio" localSheetId="4">#REF!</definedName>
    <definedName name="hkyio" localSheetId="6">#REF!</definedName>
    <definedName name="hkyio" localSheetId="7">#REF!</definedName>
    <definedName name="hkyio">#REF!</definedName>
    <definedName name="Jad_22">[11]Sheet1!$A$1:$H$60</definedName>
    <definedName name="JAD_A3" localSheetId="2">#REF!</definedName>
    <definedName name="JAD_A3" localSheetId="12">#REF!</definedName>
    <definedName name="JAD_A3" localSheetId="4">#REF!</definedName>
    <definedName name="JAD_A3" localSheetId="6">#REF!</definedName>
    <definedName name="JAD_A3" localSheetId="7">#REF!</definedName>
    <definedName name="JAD_A3">#REF!</definedName>
    <definedName name="JAD_A4" localSheetId="12">#REF!</definedName>
    <definedName name="JAD_A4" localSheetId="4">#REF!</definedName>
    <definedName name="JAD_A4" localSheetId="6">#REF!</definedName>
    <definedName name="JAD_A4" localSheetId="7">#REF!</definedName>
    <definedName name="JAD_A4">#REF!</definedName>
    <definedName name="JAD_A5" localSheetId="12">[12]JAD_A5!#REF!</definedName>
    <definedName name="JAD_A5" localSheetId="4">[12]JAD_A5!#REF!</definedName>
    <definedName name="JAD_A5" localSheetId="6">[12]JAD_A5!#REF!</definedName>
    <definedName name="JAD_A5" localSheetId="7">[12]JAD_A5!#REF!</definedName>
    <definedName name="JAD_A5">[12]JAD_A5!#REF!</definedName>
    <definedName name="JOHN" localSheetId="2">#REF!</definedName>
    <definedName name="JOHN" localSheetId="12">#REF!</definedName>
    <definedName name="JOHN" localSheetId="4">#REF!</definedName>
    <definedName name="JOHN" localSheetId="6">#REF!</definedName>
    <definedName name="JOHN" localSheetId="7">#REF!</definedName>
    <definedName name="JOHN">#REF!</definedName>
    <definedName name="LAINI2003GENDER" localSheetId="12">#REF!</definedName>
    <definedName name="LAINI2003GENDER" localSheetId="4">#REF!</definedName>
    <definedName name="LAINI2003GENDER" localSheetId="6">#REF!</definedName>
    <definedName name="LAINI2003GENDER" localSheetId="7">#REF!</definedName>
    <definedName name="LAINI2003GENDER">#REF!</definedName>
    <definedName name="LINK_BORONG" localSheetId="12">#REF!</definedName>
    <definedName name="LINK_BORONG" localSheetId="4">#REF!</definedName>
    <definedName name="LINK_BORONG" localSheetId="6">#REF!</definedName>
    <definedName name="LINK_BORONG" localSheetId="7">#REF!</definedName>
    <definedName name="LINK_BORONG">#REF!</definedName>
    <definedName name="LINK_MOTOR" localSheetId="12">#REF!</definedName>
    <definedName name="LINK_MOTOR" localSheetId="4">#REF!</definedName>
    <definedName name="LINK_MOTOR" localSheetId="6">#REF!</definedName>
    <definedName name="LINK_MOTOR" localSheetId="7">#REF!</definedName>
    <definedName name="LINK_MOTOR">#REF!</definedName>
    <definedName name="LINK_RUNCIT" localSheetId="12">#REF!</definedName>
    <definedName name="LINK_RUNCIT" localSheetId="4">#REF!</definedName>
    <definedName name="LINK_RUNCIT" localSheetId="6">#REF!</definedName>
    <definedName name="LINK_RUNCIT" localSheetId="7">#REF!</definedName>
    <definedName name="LINK_RUNCIT">#REF!</definedName>
    <definedName name="lll" localSheetId="12">#REF!</definedName>
    <definedName name="lll" localSheetId="4">#REF!</definedName>
    <definedName name="lll" localSheetId="6">#REF!</definedName>
    <definedName name="lll" localSheetId="7">#REF!</definedName>
    <definedName name="lll">#REF!</definedName>
    <definedName name="mar" localSheetId="12">#REF!</definedName>
    <definedName name="mar" localSheetId="4">#REF!</definedName>
    <definedName name="mar" localSheetId="6">#REF!</definedName>
    <definedName name="mar" localSheetId="7">#REF!</definedName>
    <definedName name="mar">#REF!</definedName>
    <definedName name="MAR_2" localSheetId="12">#REF!</definedName>
    <definedName name="MAR_2" localSheetId="4">#REF!</definedName>
    <definedName name="MAR_2" localSheetId="6">#REF!</definedName>
    <definedName name="MAR_2" localSheetId="7">#REF!</definedName>
    <definedName name="MAR_2">#REF!</definedName>
    <definedName name="match_sampel_icdt" localSheetId="12">#REF!</definedName>
    <definedName name="match_sampel_icdt" localSheetId="4">#REF!</definedName>
    <definedName name="match_sampel_icdt" localSheetId="6">#REF!</definedName>
    <definedName name="match_sampel_icdt" localSheetId="7">#REF!</definedName>
    <definedName name="match_sampel_icdt">#REF!</definedName>
    <definedName name="MIOEJ" localSheetId="12">#REF!</definedName>
    <definedName name="MIOEJ" localSheetId="4">#REF!</definedName>
    <definedName name="MIOEJ" localSheetId="6">#REF!</definedName>
    <definedName name="MIOEJ" localSheetId="7">#REF!</definedName>
    <definedName name="MIOEJ">#REF!</definedName>
    <definedName name="MYKE_11" localSheetId="12">#REF!</definedName>
    <definedName name="MYKE_11" localSheetId="4">#REF!</definedName>
    <definedName name="MYKE_11" localSheetId="6">#REF!</definedName>
    <definedName name="MYKE_11" localSheetId="7">#REF!</definedName>
    <definedName name="MYKE_11">#REF!</definedName>
    <definedName name="MYKE_11_2004" localSheetId="12">#REF!</definedName>
    <definedName name="MYKE_11_2004" localSheetId="4">#REF!</definedName>
    <definedName name="MYKE_11_2004" localSheetId="6">#REF!</definedName>
    <definedName name="MYKE_11_2004" localSheetId="7">#REF!</definedName>
    <definedName name="MYKE_11_2004">#REF!</definedName>
    <definedName name="MYKE_11_LAMA" localSheetId="12">#REF!</definedName>
    <definedName name="MYKE_11_LAMA" localSheetId="4">#REF!</definedName>
    <definedName name="MYKE_11_LAMA" localSheetId="6">#REF!</definedName>
    <definedName name="MYKE_11_LAMA" localSheetId="7">#REF!</definedName>
    <definedName name="MYKE_11_LAMA">#REF!</definedName>
    <definedName name="nama" localSheetId="12">#REF!</definedName>
    <definedName name="nama" localSheetId="4">#REF!</definedName>
    <definedName name="nama" localSheetId="6">#REF!</definedName>
    <definedName name="nama" localSheetId="7">#REF!</definedName>
    <definedName name="nama">#REF!</definedName>
    <definedName name="NEGERII" localSheetId="12">#REF!</definedName>
    <definedName name="NEGERII" localSheetId="4">#REF!</definedName>
    <definedName name="NEGERII" localSheetId="6">#REF!</definedName>
    <definedName name="NEGERII" localSheetId="7">#REF!</definedName>
    <definedName name="NEGERII">#REF!</definedName>
    <definedName name="NEW" localSheetId="12">#REF!</definedName>
    <definedName name="NEW" localSheetId="4">#REF!</definedName>
    <definedName name="NEW" localSheetId="6">#REF!</definedName>
    <definedName name="NEW" localSheetId="7">#REF!</definedName>
    <definedName name="NEW">#REF!</definedName>
    <definedName name="noorasiah91" localSheetId="12">#REF!</definedName>
    <definedName name="noorasiah91" localSheetId="4">#REF!</definedName>
    <definedName name="noorasiah91" localSheetId="6">#REF!</definedName>
    <definedName name="noorasiah91" localSheetId="7">#REF!</definedName>
    <definedName name="noorasiah91">#REF!</definedName>
    <definedName name="nora" localSheetId="12">#REF!</definedName>
    <definedName name="nora" localSheetId="4">#REF!</definedName>
    <definedName name="nora" localSheetId="6">#REF!</definedName>
    <definedName name="nora" localSheetId="7">#REF!</definedName>
    <definedName name="nora">#REF!</definedName>
    <definedName name="nura" localSheetId="12">#REF!</definedName>
    <definedName name="nura" localSheetId="4">#REF!</definedName>
    <definedName name="nura" localSheetId="6">#REF!</definedName>
    <definedName name="nura" localSheetId="7">#REF!</definedName>
    <definedName name="nura">#REF!</definedName>
    <definedName name="nuraini" localSheetId="12">#REF!</definedName>
    <definedName name="nuraini" localSheetId="4">#REF!</definedName>
    <definedName name="nuraini" localSheetId="6">#REF!</definedName>
    <definedName name="nuraini" localSheetId="7">#REF!</definedName>
    <definedName name="nuraini">#REF!</definedName>
    <definedName name="ok" localSheetId="12">#REF!</definedName>
    <definedName name="ok" localSheetId="4">#REF!</definedName>
    <definedName name="ok" localSheetId="6">#REF!</definedName>
    <definedName name="ok" localSheetId="7">#REF!</definedName>
    <definedName name="ok">#REF!</definedName>
    <definedName name="Output__10_billin" localSheetId="12">#REF!</definedName>
    <definedName name="Output__10_billin" localSheetId="4">#REF!</definedName>
    <definedName name="Output__10_billin" localSheetId="6">#REF!</definedName>
    <definedName name="Output__10_billin" localSheetId="7">#REF!</definedName>
    <definedName name="Output__10_billin">#REF!</definedName>
    <definedName name="Output__10_million" localSheetId="12">#REF!</definedName>
    <definedName name="Output__10_million" localSheetId="4">#REF!</definedName>
    <definedName name="Output__10_million" localSheetId="6">#REF!</definedName>
    <definedName name="Output__10_million" localSheetId="7">#REF!</definedName>
    <definedName name="Output__10_million">#REF!</definedName>
    <definedName name="Pek__19999" localSheetId="12">#REF!</definedName>
    <definedName name="Pek__19999" localSheetId="4">#REF!</definedName>
    <definedName name="Pek__19999" localSheetId="6">#REF!</definedName>
    <definedName name="Pek__19999" localSheetId="7">#REF!</definedName>
    <definedName name="Pek__19999">#REF!</definedName>
    <definedName name="PERKHIDMATAN" localSheetId="12">#REF!</definedName>
    <definedName name="PERKHIDMATAN" localSheetId="4">#REF!</definedName>
    <definedName name="PERKHIDMATAN" localSheetId="6">#REF!</definedName>
    <definedName name="PERKHIDMATAN" localSheetId="7">#REF!</definedName>
    <definedName name="PERKHIDMATAN">#REF!</definedName>
    <definedName name="_xlnm.Print_Area" localSheetId="2">'Jadual 1'!$A$1:$H$18</definedName>
    <definedName name="_xlnm.Print_Area" localSheetId="8">'Jadual 10'!$A$1:$T$24</definedName>
    <definedName name="_xlnm.Print_Area" localSheetId="9">'Jadual 11 &amp; 12'!$A$1:$G$32</definedName>
    <definedName name="_xlnm.Print_Area" localSheetId="10">'Jadual 13'!$A$1:$D$45</definedName>
    <definedName name="_xlnm.Print_Area" localSheetId="11">'Jadual 13a'!$A$1:$D$29</definedName>
    <definedName name="_xlnm.Print_Area" localSheetId="12">'Jadual 14 &amp; 15'!$A$1:$G$31</definedName>
    <definedName name="_xlnm.Print_Area" localSheetId="3">'Jadual 2 &amp; 3'!$A$1:$F$23</definedName>
    <definedName name="_xlnm.Print_Area" localSheetId="4">'Jadual 4-6'!$A$1:$H$42</definedName>
    <definedName name="_xlnm.Print_Area" localSheetId="5">'Jadual 7'!$A$1:$E$17</definedName>
    <definedName name="_xlnm.Print_Area" localSheetId="6">'Jadual 8'!$A$1:$F$18</definedName>
    <definedName name="_xlnm.Print_Area" localSheetId="7">'Jadual 9'!$A$1:$F$14</definedName>
    <definedName name="_xlnm.Print_Area">#REF!</definedName>
    <definedName name="PRINT_AREA_MI" localSheetId="2">#REF!</definedName>
    <definedName name="PRINT_AREA_MI" localSheetId="12">#REF!</definedName>
    <definedName name="PRINT_AREA_MI" localSheetId="4">#REF!</definedName>
    <definedName name="PRINT_AREA_MI" localSheetId="6">#REF!</definedName>
    <definedName name="PRINT_AREA_MI" localSheetId="7">#REF!</definedName>
    <definedName name="PRINT_AREA_MI">#REF!</definedName>
    <definedName name="_xlnm.Print_Titles" localSheetId="10">'Jadual 13'!$1:$3</definedName>
    <definedName name="PROSESAN_VS_SVYSYS" localSheetId="2">#REF!</definedName>
    <definedName name="PROSESAN_VS_SVYSYS" localSheetId="12">#REF!</definedName>
    <definedName name="PROSESAN_VS_SVYSYS" localSheetId="4">#REF!</definedName>
    <definedName name="PROSESAN_VS_SVYSYS" localSheetId="6">#REF!</definedName>
    <definedName name="PROSESAN_VS_SVYSYS" localSheetId="7">#REF!</definedName>
    <definedName name="PROSESAN_VS_SVYSYS">#REF!</definedName>
    <definedName name="Q04W" localSheetId="12">#REF!</definedName>
    <definedName name="Q04W" localSheetId="4">#REF!</definedName>
    <definedName name="Q04W" localSheetId="6">#REF!</definedName>
    <definedName name="Q04W" localSheetId="7">#REF!</definedName>
    <definedName name="Q04W">#REF!</definedName>
    <definedName name="QQQ" localSheetId="12">#REF!</definedName>
    <definedName name="QQQ" localSheetId="4">#REF!</definedName>
    <definedName name="QQQ" localSheetId="6">#REF!</definedName>
    <definedName name="QQQ" localSheetId="7">#REF!</definedName>
    <definedName name="QQQ">#REF!</definedName>
    <definedName name="Query1" localSheetId="12">#REF!</definedName>
    <definedName name="Query1" localSheetId="4">#REF!</definedName>
    <definedName name="Query1" localSheetId="6">#REF!</definedName>
    <definedName name="Query1" localSheetId="7">#REF!</definedName>
    <definedName name="Query1">#REF!</definedName>
    <definedName name="Query2" localSheetId="12">#REF!</definedName>
    <definedName name="Query2" localSheetId="4">#REF!</definedName>
    <definedName name="Query2" localSheetId="6">#REF!</definedName>
    <definedName name="Query2" localSheetId="7">#REF!</definedName>
    <definedName name="Query2">#REF!</definedName>
    <definedName name="rumusan2" localSheetId="12">#REF!</definedName>
    <definedName name="rumusan2" localSheetId="4">#REF!</definedName>
    <definedName name="rumusan2" localSheetId="6">#REF!</definedName>
    <definedName name="rumusan2" localSheetId="7">#REF!</definedName>
    <definedName name="rumusan2">#REF!</definedName>
    <definedName name="sa" localSheetId="12">#REF!</definedName>
    <definedName name="sa" localSheetId="4">#REF!</definedName>
    <definedName name="sa" localSheetId="6">#REF!</definedName>
    <definedName name="sa" localSheetId="7">#REF!</definedName>
    <definedName name="sa">#REF!</definedName>
    <definedName name="SAYANG" localSheetId="12">#REF!</definedName>
    <definedName name="SAYANG" localSheetId="4">#REF!</definedName>
    <definedName name="SAYANG" localSheetId="6">#REF!</definedName>
    <definedName name="SAYANG" localSheetId="7">#REF!</definedName>
    <definedName name="SAYANG">#REF!</definedName>
    <definedName name="sdf" localSheetId="12">#REF!</definedName>
    <definedName name="sdf" localSheetId="4">#REF!</definedName>
    <definedName name="sdf" localSheetId="6">#REF!</definedName>
    <definedName name="sdf" localSheetId="7">#REF!</definedName>
    <definedName name="sdf">#REF!</definedName>
    <definedName name="Table_12" localSheetId="12">#REF!</definedName>
    <definedName name="Table_12" localSheetId="4">#REF!</definedName>
    <definedName name="Table_12" localSheetId="6">#REF!</definedName>
    <definedName name="Table_12" localSheetId="7">#REF!</definedName>
    <definedName name="Table_12">#REF!</definedName>
    <definedName name="TABLE_13" localSheetId="12">#REF!</definedName>
    <definedName name="TABLE_13" localSheetId="4">#REF!</definedName>
    <definedName name="TABLE_13" localSheetId="6">#REF!</definedName>
    <definedName name="TABLE_13" localSheetId="7">#REF!</definedName>
    <definedName name="TABLE_13">#REF!</definedName>
    <definedName name="TABLE_14" localSheetId="12">#REF!</definedName>
    <definedName name="TABLE_14" localSheetId="4">#REF!</definedName>
    <definedName name="TABLE_14" localSheetId="6">#REF!</definedName>
    <definedName name="TABLE_14" localSheetId="7">#REF!</definedName>
    <definedName name="TABLE_14">#REF!</definedName>
    <definedName name="table_3" localSheetId="12">#REF!</definedName>
    <definedName name="table_3" localSheetId="4">#REF!</definedName>
    <definedName name="table_3" localSheetId="6">#REF!</definedName>
    <definedName name="table_3" localSheetId="7">#REF!</definedName>
    <definedName name="table_3">#REF!</definedName>
    <definedName name="TABLE_9" localSheetId="12">#REF!</definedName>
    <definedName name="TABLE_9" localSheetId="4">#REF!</definedName>
    <definedName name="TABLE_9" localSheetId="6">#REF!</definedName>
    <definedName name="TABLE_9" localSheetId="7">#REF!</definedName>
    <definedName name="TABLE_9">#REF!</definedName>
    <definedName name="tblDataReview810" localSheetId="12">#REF!</definedName>
    <definedName name="tblDataReview810" localSheetId="4">#REF!</definedName>
    <definedName name="tblDataReview810" localSheetId="6">#REF!</definedName>
    <definedName name="tblDataReview810" localSheetId="7">#REF!</definedName>
    <definedName name="tblDataReview810">#REF!</definedName>
    <definedName name="UW" localSheetId="12">#REF!</definedName>
    <definedName name="UW" localSheetId="4">#REF!</definedName>
    <definedName name="UW" localSheetId="6">#REF!</definedName>
    <definedName name="UW" localSheetId="7">#REF!</definedName>
    <definedName name="UW">#REF!</definedName>
    <definedName name="W" localSheetId="12">#REF!</definedName>
    <definedName name="W" localSheetId="4">#REF!</definedName>
    <definedName name="W" localSheetId="6">#REF!</definedName>
    <definedName name="W" localSheetId="7">#REF!</definedName>
    <definedName name="W">#REF!</definedName>
    <definedName name="wdjkhw" localSheetId="12">#REF!</definedName>
    <definedName name="wdjkhw" localSheetId="4">#REF!</definedName>
    <definedName name="wdjkhw" localSheetId="6">#REF!</definedName>
    <definedName name="wdjkhw" localSheetId="7">#REF!</definedName>
    <definedName name="wdjkhw">#REF!</definedName>
    <definedName name="xvbv" localSheetId="12">#REF!</definedName>
    <definedName name="xvbv" localSheetId="4">#REF!</definedName>
    <definedName name="xvbv" localSheetId="6">#REF!</definedName>
    <definedName name="xvbv" localSheetId="7">#REF!</definedName>
    <definedName name="xvbv">#REF!</definedName>
    <definedName name="ya" localSheetId="12">#REF!</definedName>
    <definedName name="ya" localSheetId="4">#REF!</definedName>
    <definedName name="ya" localSheetId="6">#REF!</definedName>
    <definedName name="ya" localSheetId="7">#REF!</definedName>
    <definedName name="ya">#REF!</definedName>
    <definedName name="yaa" localSheetId="12">#REF!</definedName>
    <definedName name="yaa" localSheetId="4">#REF!</definedName>
    <definedName name="yaa" localSheetId="6">#REF!</definedName>
    <definedName name="yaa" localSheetId="7">#REF!</definedName>
    <definedName name="yaa">#REF!</definedName>
    <definedName name="yaaa" localSheetId="12">#REF!</definedName>
    <definedName name="yaaa" localSheetId="4">#REF!</definedName>
    <definedName name="yaaa" localSheetId="6">#REF!</definedName>
    <definedName name="yaaa" localSheetId="7">#REF!</definedName>
    <definedName name="yaaa">#REF!</definedName>
    <definedName name="zf" localSheetId="12">#REF!</definedName>
    <definedName name="zf" localSheetId="4">#REF!</definedName>
    <definedName name="zf" localSheetId="6">#REF!</definedName>
    <definedName name="zf" localSheetId="7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<sst xmlns="http://schemas.openxmlformats.org/spreadsheetml/2006/main" count="326" uniqueCount="217">
  <si>
    <t>Jadual 1: Statistik penting pelancongan domestik di Perlis, 2018 - 2025</t>
  </si>
  <si>
    <t>Jadual 1: Statistik penting pelancongan domestik di Perlis, 2019 - 2025</t>
  </si>
  <si>
    <t>Perlis</t>
  </si>
  <si>
    <t>Table 1: Key statistics of domestic tourism in Perlis, 2018 - 2025</t>
  </si>
  <si>
    <t>Table 1: Key statistics of domestic tourism in Perlis, 2019 - 2025</t>
  </si>
  <si>
    <t>Jadual 2: Bilangan pelawat domestik mengikut jenis pelawat ke Perlis, 2024 dan 2025</t>
  </si>
  <si>
    <t>Jadual 2: Pelawat domestik mengikut jenis pelawat ke Perlis, 2024 dan 2025</t>
  </si>
  <si>
    <t>Table 2: Number of domestic visitors by type of visitors to Perlis, 2024 and 2025</t>
  </si>
  <si>
    <t>Table 2: Domestic visitors by type of visitors to Perlis, 2024 and 2025</t>
  </si>
  <si>
    <t>Jadual 3: Bilangan perjalanan pelancongan domestik ke Perlis, 2024 dan 2025</t>
  </si>
  <si>
    <t>Jadual 3: Perjalanan pelancongan domestik ke Perlis, 2024 dan 2025</t>
  </si>
  <si>
    <t>Table 3: Number of domestic tourism trips to Perlis, 2024 and 2025</t>
  </si>
  <si>
    <t>Table 3: Domestic tourism trips to Perlis, 2024 and 2025</t>
  </si>
  <si>
    <t>Jadual 4: Terimaan pelancongan domestik mengikut jenis perjalanan di Perlis, 2024 dan 2025</t>
  </si>
  <si>
    <t>Table 4: Receipts of domestic tourism receipts by type of trip in Perlis, 2024 and 2025</t>
  </si>
  <si>
    <t>Table 4: Domestic tourism receipts by type of trip in Perlis, 2024 and 2025</t>
  </si>
  <si>
    <t>Jadual 5: Bilangan perjalanan pelancongan domestik mengikut jenis perjalanan ke Perlis, 2024 dan 2025</t>
  </si>
  <si>
    <t>Jadual 5: Perjalanan pelancongan domestik mengikut jenis perjalanan ke Perlis, 2024 dan 2025</t>
  </si>
  <si>
    <t>Table 5: Number of domestic tourism trips by type of trip to Perlis, 2024 and 2025</t>
  </si>
  <si>
    <t>Table 5: Domestic tourism trips by type of trip to Perlis, 2024 and 2025</t>
  </si>
  <si>
    <t>Jadual 6: Purata bilangan hari menginap bagi pelancong ke Perlis, 2024 dan 2025</t>
  </si>
  <si>
    <t>Table 6: Average length of stay of tourists to Perlis, 2024 and 2025</t>
  </si>
  <si>
    <t>Jadual 7: Jumlah terimaan pelancongan daripada pelawat domestik ke Perlis mengikut komponen, 2024 dan 2025</t>
  </si>
  <si>
    <t>Jadual 7: Terimaan pelancongan daripada pelawat domestik ke Perlis mengikut komponen, 2024 dan 2025</t>
  </si>
  <si>
    <t>Table 7: Total tourism receipts from domestic visitors to Perlis by component, 2024 and 2025</t>
  </si>
  <si>
    <t>Table 7: Tourism receipts from domestic visitors to Perlis by component, 2024 and 2025</t>
  </si>
  <si>
    <t>Jadual 8: Perjalanan pelancongan domestik ke Perlis mengikut tujuan utama, 2025</t>
  </si>
  <si>
    <t>Table 8: Domestic tourism trips to Perlis by main purposes of visit, 2025</t>
  </si>
  <si>
    <t>Jadual 9: Lima destinasi tumpuan pelawat domestik dan pelancong ke Perlis, 2024 dan 2025</t>
  </si>
  <si>
    <t>Table 9: Top five destinations most visited by domestic visitors and tourists to Perlis, 2024 and 2025</t>
  </si>
  <si>
    <r>
      <rPr>
        <b/>
        <sz val="10"/>
        <color theme="1"/>
        <rFont val="Arial"/>
        <charset val="134"/>
      </rPr>
      <t xml:space="preserve">Jadual 10: </t>
    </r>
    <r>
      <rPr>
        <b/>
        <strike/>
        <sz val="10"/>
        <color theme="1"/>
        <rFont val="Arial"/>
        <charset val="134"/>
      </rPr>
      <t>Bilangan</t>
    </r>
    <r>
      <rPr>
        <b/>
        <sz val="10"/>
        <color theme="1"/>
        <rFont val="Arial"/>
        <charset val="134"/>
      </rPr>
      <t xml:space="preserve"> pelancong mengikut negeri dikunjungi, 2025</t>
    </r>
  </si>
  <si>
    <t>Jadual 10: Pelancong mengikut negeri dikunjungi, 2025</t>
  </si>
  <si>
    <r>
      <rPr>
        <i/>
        <sz val="10"/>
        <color theme="1"/>
        <rFont val="Arial"/>
        <charset val="134"/>
      </rPr>
      <t xml:space="preserve">Table 10: </t>
    </r>
    <r>
      <rPr>
        <i/>
        <strike/>
        <sz val="10"/>
        <color theme="1"/>
        <rFont val="Arial"/>
        <charset val="134"/>
      </rPr>
      <t>Number of</t>
    </r>
    <r>
      <rPr>
        <i/>
        <sz val="10"/>
        <color theme="1"/>
        <rFont val="Arial"/>
        <charset val="134"/>
      </rPr>
      <t xml:space="preserve"> tourists by state visited, 2025</t>
    </r>
  </si>
  <si>
    <t>Table 10: Tourists by state visited, 2025</t>
  </si>
  <si>
    <t>Jadual 11: Taburan peratus ketibaan pelawat domestik berkunjung ke di Perlis mengikut mod pengangkutan, 2024 dan 2025</t>
  </si>
  <si>
    <t>Jadual 11: Taburan peratus ketibaan pelawat domestik di Perlis mengikut mod pengangkutan, 2024 dan 2025</t>
  </si>
  <si>
    <t>Table 11: Percentage distribution of domestic visitor arrivals to in Perlis by mode of transport, 2024 and 2025</t>
  </si>
  <si>
    <t>Table 11: Percentage distribution of domestic visitor arrivals in Perlis by mode of transport, 2024 and 2025</t>
  </si>
  <si>
    <t>Jadual 12: Taburan peratus ketibaan pelancong berkunjung ke di Perlis mengikut jenis penginapan, 2024 dan 2025</t>
  </si>
  <si>
    <t>Jadual 12: Taburan peratus ketibaan pelancong di Perlis mengikut jenis penginapan, 2024 dan 2025</t>
  </si>
  <si>
    <t>Table 12: Percentage distribution of tourist arrivals to in Perlis by types of accommodation, 2024 and 2025</t>
  </si>
  <si>
    <t>Table 12: Percentage distribution of tourist arrivals in Perlis by types of accommodation, 2024 and 2025</t>
  </si>
  <si>
    <t>Jadual 13: Profil sosial &amp; demografi pelawat domestik ke Perlis, 2024 dan 2025</t>
  </si>
  <si>
    <t>Table 13: Social &amp; demographic profiles of domestic visitors to Perlis, 2024 and 2025</t>
  </si>
  <si>
    <t>Jadual 13: Profil sosial &amp; demografi pelawat domestik ke Perlis, 2024 dan 2025 (samb.)</t>
  </si>
  <si>
    <t>Table 13: Social &amp; demographic profiles of domestic visitors to Perlis, 2024 and 2025 (cont'd.)</t>
  </si>
  <si>
    <t>Jadual 14: Bilangan hotel dan bilik di Perlis mengikut penarafan bintang, 2025</t>
  </si>
  <si>
    <t>Jadual 14: Hotel dan bilik di Perlis mengikut penarafan bintang, 2025</t>
  </si>
  <si>
    <t>Table 14: Number of hotel and room in Perlis by star rating, 2025</t>
  </si>
  <si>
    <t>Table 14: Hotel and room in Perlis by star rating, 2025</t>
  </si>
  <si>
    <t>Jadual 15: Bilangan hotel dan bilik di Perlis mengikut lokasi, 2025</t>
  </si>
  <si>
    <t>Jadual 15: Hotel dan bilik di Perlis mengikut lokasi, 2025</t>
  </si>
  <si>
    <t>Table 15: Number of hotel and room in Perlis by location, 2025</t>
  </si>
  <si>
    <t>Table 15: Hotel and room in Perlis by location, 2025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</si>
  <si>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</si>
  <si>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</si>
  <si>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</si>
  <si>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</si>
  <si>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</si>
  <si>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</si>
  <si>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</si>
  <si>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</si>
  <si>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</si>
  <si>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</si>
  <si>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</si>
  <si>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</si>
  <si>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</si>
  <si>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</si>
  <si>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</si>
  <si>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</si>
  <si>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Terimaan pelancongan (RM juta)
</t>
    </r>
    <r>
      <rPr>
        <i/>
        <sz val="10"/>
        <rFont val="Arial"/>
        <charset val="134"/>
      </rPr>
      <t>Tourism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</si>
  <si>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</si>
  <si>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 ('000)</t>
    </r>
  </si>
  <si>
    <r>
      <rPr>
        <b/>
        <sz val="10"/>
        <rFont val="Arial"/>
        <charset val="134"/>
      </rPr>
      <t xml:space="preserve">Perjalanan pelancongan ('000)
</t>
    </r>
    <r>
      <rPr>
        <i/>
        <sz val="10"/>
        <rFont val="Arial"/>
        <charset val="134"/>
      </rPr>
      <t>Tourism trip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</si>
  <si>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</si>
  <si>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</si>
  <si>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</si>
  <si>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</si>
  <si>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Kadar pertumbuhan tahunan
</t>
    </r>
    <r>
      <rPr>
        <i/>
        <sz val="10"/>
        <rFont val="Arial"/>
        <charset val="134"/>
      </rPr>
      <t>Annual growth rate</t>
    </r>
    <r>
      <rPr>
        <b/>
        <sz val="10"/>
        <rFont val="Arial"/>
        <charset val="134"/>
      </rPr>
      <t xml:space="preserve">
(%)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</si>
  <si>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</si>
  <si>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</si>
  <si>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</si>
  <si>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</si>
  <si>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</si>
  <si>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</si>
  <si>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 xml:space="preserve">Perjalanan pelancongan
</t>
    </r>
    <r>
      <rPr>
        <i/>
        <sz val="10"/>
        <rFont val="Arial"/>
        <charset val="134"/>
      </rPr>
      <t>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</si>
  <si>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</si>
  <si>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</si>
  <si>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</si>
  <si>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</si>
  <si>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Terimaan pelancongan/ </t>
    </r>
    <r>
      <rPr>
        <i/>
        <sz val="10"/>
        <rFont val="Arial"/>
        <charset val="134"/>
      </rPr>
      <t>Tourism receipts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</si>
  <si>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>Same day receipts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</si>
  <si>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r</t>
    </r>
    <r>
      <rPr>
        <i/>
        <sz val="10"/>
        <rFont val="Arial"/>
        <charset val="134"/>
      </rPr>
      <t>eceipts</t>
    </r>
  </si>
  <si>
    <t>(RM)</t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</si>
  <si>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</si>
  <si>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</si>
  <si>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</si>
  <si>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</si>
  <si>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>Perjalanan pelancongan/</t>
    </r>
    <r>
      <rPr>
        <i/>
        <sz val="10"/>
        <rFont val="Arial"/>
        <charset val="134"/>
      </rPr>
      <t xml:space="preserve"> Tourism trip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</si>
  <si>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</si>
  <si>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</si>
  <si>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</si>
  <si>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</si>
  <si>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 ('000)</t>
    </r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</si>
  <si>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 ('000)</t>
    </r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</si>
  <si>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</si>
  <si>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</si>
  <si>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</si>
  <si>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</si>
  <si>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t>Membeli-belah</t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</si>
  <si>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</si>
  <si>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t>Pembelian bahan api kenderaan</t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</si>
  <si>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</si>
  <si>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t>Pengangkutan</t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</si>
  <si>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</si>
  <si>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t>Makanan &amp; minuman</t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</si>
  <si>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</si>
  <si>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t>Penginapan</t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</si>
  <si>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</si>
  <si>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t>Perbelanjaan sebelum perjalanan/ pakej/ bayaran masuk/ tiket</t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</si>
  <si>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</si>
  <si>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t>Aktiviti-aktiviti lain</t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</si>
  <si>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</si>
  <si>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t>Perbelanjaan oleh isi rumah yang dilawati</t>
  </si>
  <si>
    <r>
      <rPr>
        <b/>
        <sz val="10"/>
        <rFont val="Arial"/>
        <charset val="134"/>
      </rPr>
      <t xml:space="preserve">Terimaan pelancongan (A+B)
</t>
    </r>
    <r>
      <rPr>
        <i/>
        <sz val="10"/>
        <rFont val="Arial"/>
        <charset val="134"/>
      </rPr>
      <t>Tourism receipts (A+B)</t>
    </r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</si>
  <si>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</si>
  <si>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</si>
  <si>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</si>
  <si>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</si>
  <si>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</si>
  <si>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</si>
  <si>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</si>
  <si>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</si>
  <si>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</si>
  <si>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</si>
  <si>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</si>
  <si>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</si>
  <si>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</si>
  <si>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</si>
  <si>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</si>
  <si>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</si>
  <si>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</si>
  <si>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</si>
  <si>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</si>
  <si>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</si>
  <si>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</si>
  <si>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</si>
  <si>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</si>
  <si>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</si>
  <si>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</si>
  <si>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</si>
  <si>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</si>
  <si>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</si>
  <si>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</si>
  <si>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Relatives' &amp; friends' houses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</si>
  <si>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Hotels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</si>
  <si>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Chalets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</si>
  <si>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Apartments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</si>
  <si>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Homestays/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</si>
  <si>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houses</t>
    </r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</si>
  <si>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</si>
  <si>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</si>
  <si>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</si>
  <si>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</si>
  <si>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</si>
  <si>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</si>
  <si>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</si>
  <si>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</si>
  <si>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</si>
  <si>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</si>
  <si>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</si>
  <si>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</si>
  <si>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</si>
  <si>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</si>
  <si>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</si>
  <si>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</si>
  <si>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</si>
  <si>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</si>
  <si>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</si>
  <si>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</si>
  <si>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 (RM)</t>
    </r>
  </si>
  <si>
    <r>
      <rPr>
        <b/>
        <sz val="10"/>
        <color theme="1"/>
        <rFont val="Arial"/>
        <charset val="134"/>
      </rPr>
      <t xml:space="preserve">Peratus/ </t>
    </r>
    <r>
      <rPr>
        <i/>
        <sz val="10"/>
        <color theme="1"/>
        <rFont val="Arial"/>
        <charset val="134"/>
      </rPr>
      <t xml:space="preserve">Percentage </t>
    </r>
    <r>
      <rPr>
        <b/>
        <sz val="10"/>
        <color theme="1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</si>
  <si>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</si>
  <si>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</si>
  <si>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</si>
  <si>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</si>
  <si>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</si>
  <si>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</si>
  <si>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
Employed</t>
    </r>
  </si>
  <si>
    <r>
      <rPr>
        <b/>
        <sz val="10"/>
        <color rgb="FF000000"/>
        <rFont val="Arial"/>
        <charset val="134"/>
      </rPr>
      <t>Profesional/ teknikal</t>
    </r>
    <r>
      <rPr>
        <i/>
        <sz val="10"/>
        <color rgb="FF000000"/>
        <rFont val="Arial"/>
        <charset val="134"/>
      </rPr>
      <t xml:space="preserve">
Professional/ technical</t>
    </r>
  </si>
  <si>
    <r>
      <rPr>
        <b/>
        <sz val="10"/>
        <color rgb="FF000000"/>
        <rFont val="Arial"/>
        <charset val="134"/>
      </rPr>
      <t>Pengurusan/ pentadbiran</t>
    </r>
    <r>
      <rPr>
        <i/>
        <sz val="10"/>
        <color rgb="FF000000"/>
        <rFont val="Arial"/>
        <charset val="134"/>
      </rPr>
      <t xml:space="preserve">
Managerial/ administrative</t>
    </r>
  </si>
  <si>
    <r>
      <rPr>
        <b/>
        <sz val="10"/>
        <color rgb="FF000000"/>
        <rFont val="Arial"/>
        <charset val="134"/>
      </rPr>
      <t>Jurujual/ perkeranian</t>
    </r>
    <r>
      <rPr>
        <i/>
        <sz val="10"/>
        <color rgb="FF000000"/>
        <rFont val="Arial"/>
        <charset val="134"/>
      </rPr>
      <t xml:space="preserve">
Sales person/ clerical</t>
    </r>
  </si>
  <si>
    <r>
      <rPr>
        <b/>
        <sz val="10"/>
        <color rgb="FF000000"/>
        <rFont val="Arial"/>
        <charset val="134"/>
      </rPr>
      <t xml:space="preserve">Pekerja am
</t>
    </r>
    <r>
      <rPr>
        <i/>
        <sz val="10"/>
        <color rgb="FF000000"/>
        <rFont val="Arial"/>
        <charset val="134"/>
      </rPr>
      <t>General worker</t>
    </r>
  </si>
  <si>
    <r>
      <rPr>
        <b/>
        <sz val="10"/>
        <color rgb="FF000000"/>
        <rFont val="Arial"/>
        <charset val="134"/>
      </rPr>
      <t>Lain-lain</t>
    </r>
    <r>
      <rPr>
        <i/>
        <sz val="10"/>
        <color indexed="8"/>
        <rFont val="Arial"/>
        <charset val="134"/>
      </rPr>
      <t xml:space="preserve">
</t>
    </r>
    <r>
      <rPr>
        <i/>
        <sz val="10"/>
        <rFont val="Arial"/>
        <charset val="134"/>
      </rPr>
      <t>Others</t>
    </r>
  </si>
  <si>
    <r>
      <rPr>
        <b/>
        <sz val="10"/>
        <color rgb="FF000000"/>
        <rFont val="Arial"/>
        <charset val="134"/>
      </rPr>
      <t>Tidak bekerja/ luar tenaga buruh</t>
    </r>
    <r>
      <rPr>
        <i/>
        <sz val="10"/>
        <color rgb="FF000000"/>
        <rFont val="Arial"/>
        <charset val="134"/>
      </rPr>
      <t xml:space="preserve">                       
Unemployed/ outside labour force</t>
    </r>
  </si>
  <si>
    <r>
      <rPr>
        <b/>
        <sz val="10"/>
        <color rgb="FF000000"/>
        <rFont val="Arial"/>
        <charset val="134"/>
      </rPr>
      <t>Tidak bekerja</t>
    </r>
    <r>
      <rPr>
        <i/>
        <sz val="10"/>
        <color rgb="FF000000"/>
        <rFont val="Arial"/>
        <charset val="134"/>
      </rPr>
      <t xml:space="preserve">
Unemployed</t>
    </r>
  </si>
  <si>
    <r>
      <rPr>
        <b/>
        <sz val="10"/>
        <color rgb="FF000000"/>
        <rFont val="Arial"/>
        <charset val="134"/>
      </rPr>
      <t>Pesara</t>
    </r>
    <r>
      <rPr>
        <i/>
        <sz val="10"/>
        <color rgb="FF000000"/>
        <rFont val="Arial"/>
        <charset val="134"/>
      </rPr>
      <t xml:space="preserve">
Retiree</t>
    </r>
  </si>
  <si>
    <r>
      <rPr>
        <b/>
        <sz val="10"/>
        <color rgb="FF000000"/>
        <rFont val="Arial"/>
        <charset val="134"/>
      </rPr>
      <t>Pelajar</t>
    </r>
    <r>
      <rPr>
        <i/>
        <sz val="10"/>
        <color rgb="FF000000"/>
        <rFont val="Arial"/>
        <charset val="134"/>
      </rPr>
      <t xml:space="preserve">
Student</t>
    </r>
  </si>
  <si>
    <r>
      <rPr>
        <b/>
        <sz val="10"/>
        <color rgb="FF000000"/>
        <rFont val="Arial"/>
        <charset val="134"/>
      </rPr>
      <t>Suri rumah</t>
    </r>
    <r>
      <rPr>
        <i/>
        <sz val="10"/>
        <color rgb="FF000000"/>
        <rFont val="Arial"/>
        <charset val="134"/>
      </rPr>
      <t xml:space="preserve">
Housewife</t>
    </r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</si>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</sst>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6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[$-F800]dddd\,\ mmmm\ dd\,\ yyyy"/>
    <numFmt numFmtId="178" formatCode="[$-43E]dd\ mmmm\ yyyy;@"/>
    <numFmt numFmtId="179" formatCode="[$-409]mmm\-yy;@"/>
    <numFmt numFmtId="180" formatCode="_(* #,##0_);_(* \(#,##0\);_(* &quot;-&quot;_);_(@_)"/>
    <numFmt numFmtId="181" formatCode="[$-409]General"/>
    <numFmt numFmtId="182" formatCode="0.0%"/>
    <numFmt numFmtId="183" formatCode="0.0"/>
    <numFmt numFmtId="184" formatCode="#,##0.0"/>
    <numFmt numFmtId="185" formatCode="_(* #,##0_);_(* \(#,##0\);_(* &quot;-&quot;??_);_(@_)"/>
    <numFmt numFmtId="186" formatCode="_(* #,##0.00_);_(* \(#,##0.00\);_(* \-??_);_(@_)"/>
    <numFmt numFmtId="187" formatCode="_-* #,##0_-;\-* #,##0_-;_-* &quot;-&quot;??_-;_-@_-"/>
    <numFmt numFmtId="188" formatCode="_(&quot;$&quot;* #,##0.00_);_(&quot;$&quot;* \(#,##0.00\);_(&quot;$&quot;* &quot;-&quot;??_);_(@_)"/>
    <numFmt numFmtId="189" formatCode="General_)"/>
    <numFmt numFmtId="190" formatCode="[$-409]mmmm\ d\,\ yyyy;@"/>
    <numFmt numFmtId="191" formatCode="0;[Red]0"/>
    <numFmt numFmtId="192" formatCode="#,##0_)"/>
    <numFmt numFmtId="193" formatCode="_(* #,##0.00_);_(* \(#,##0.00\);_(* &quot;-&quot;??.00_);_(@_)"/>
    <numFmt numFmtId="194" formatCode="0.00_ "/>
    <numFmt numFmtId="195" formatCode="0.0_ "/>
    <numFmt numFmtId="196" formatCode="_(* #,##0.0_);_(* \(#,##0.0\);_(* &quot;-&quot;??.0_);_(@_)"/>
    <numFmt numFmtId="197" formatCode="_(* #,##0.0_);_(* \(#,##0.0\);_(* &quot;-&quot;??_);_(@_)"/>
  </numFmts>
  <fonts count="11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i/>
      <sz val="10"/>
      <color theme="1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sz val="9"/>
      <name val="Calibri"/>
      <charset val="134"/>
      <scheme val="minor"/>
    </font>
    <font>
      <sz val="9"/>
      <name val="Century Gothic"/>
      <charset val="134"/>
    </font>
    <font>
      <sz val="9"/>
      <name val="Arial"/>
      <charset val="134"/>
    </font>
    <font>
      <b/>
      <sz val="11"/>
      <name val="Calibri"/>
      <charset val="134"/>
      <scheme val="minor"/>
    </font>
    <font>
      <sz val="10"/>
      <color theme="1"/>
      <name val="Century Gothic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i/>
      <sz val="10"/>
      <color rgb="FF000000"/>
      <name val="Arial"/>
      <charset val="134"/>
    </font>
    <font>
      <b/>
      <strike/>
      <sz val="10"/>
      <color theme="1"/>
      <name val="Arial"/>
      <charset val="134"/>
    </font>
    <font>
      <i/>
      <sz val="10"/>
      <color indexed="8"/>
      <name val="Arial"/>
      <charset val="134"/>
    </font>
    <font>
      <i/>
      <strike/>
      <sz val="10"/>
      <color theme="1"/>
      <name val="Arial"/>
      <charset val="134"/>
    </font>
    <font>
      <b/>
      <i/>
      <sz val="10"/>
      <name val="Arial"/>
      <charset val="134"/>
    </font>
  </fonts>
  <fills count="7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64A0A0"/>
      </bottom>
      <diagonal/>
    </border>
    <border>
      <left/>
      <right/>
      <top style="medium">
        <color rgb="FF64A0A0"/>
      </top>
      <bottom style="medium">
        <color rgb="FF64A0A0"/>
      </bottom>
      <diagonal/>
    </border>
    <border>
      <left/>
      <right/>
      <top style="medium">
        <color rgb="FF64A0A0"/>
      </top>
      <bottom style="medium">
        <color rgb="FFBF9000"/>
      </bottom>
      <diagonal/>
    </border>
    <border>
      <left/>
      <right/>
      <top style="medium">
        <color rgb="FFBF9000"/>
      </top>
      <bottom style="medium">
        <color rgb="FF64A0A0"/>
      </bottom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64A0A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64A0A0"/>
      </bottom>
      <diagonal/>
    </border>
    <border>
      <left/>
      <right style="medium">
        <color rgb="FF64A0A0"/>
      </right>
      <top style="medium">
        <color rgb="FF64A0A0"/>
      </top>
      <bottom/>
      <diagonal/>
    </border>
    <border>
      <left/>
      <right style="medium">
        <color rgb="FF64A0A0"/>
      </right>
      <top/>
      <bottom/>
      <diagonal/>
    </border>
    <border>
      <left/>
      <right style="medium">
        <color rgb="FF64A0A0"/>
      </right>
      <top/>
      <bottom style="medium">
        <color rgb="FF64A0A0"/>
      </bottom>
      <diagonal/>
    </border>
    <border>
      <left/>
      <right/>
      <top style="medium">
        <color rgb="FF64A0A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16" applyNumberFormat="0" applyAlignment="0" applyProtection="0">
      <alignment vertical="center"/>
    </xf>
    <xf numFmtId="0" fontId="33" fillId="5" borderId="17" applyNumberFormat="0" applyAlignment="0" applyProtection="0">
      <alignment vertical="center"/>
    </xf>
    <xf numFmtId="0" fontId="34" fillId="5" borderId="16" applyNumberFormat="0" applyAlignment="0" applyProtection="0">
      <alignment vertical="center"/>
    </xf>
    <xf numFmtId="0" fontId="35" fillId="6" borderId="18" applyNumberFormat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177" fontId="43" fillId="34" borderId="0" applyNumberFormat="0" applyBorder="0" applyAlignment="0" applyProtection="0"/>
    <xf numFmtId="0" fontId="0" fillId="36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177" fontId="43" fillId="37" borderId="0" applyNumberFormat="0" applyBorder="0" applyAlignment="0" applyProtection="0"/>
    <xf numFmtId="0" fontId="0" fillId="39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177" fontId="43" fillId="40" borderId="0" applyNumberFormat="0" applyBorder="0" applyAlignment="0" applyProtection="0"/>
    <xf numFmtId="0" fontId="0" fillId="42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177" fontId="43" fillId="43" borderId="0" applyNumberFormat="0" applyBorder="0" applyAlignment="0" applyProtection="0"/>
    <xf numFmtId="0" fontId="0" fillId="44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177" fontId="43" fillId="45" borderId="0" applyNumberFormat="0" applyBorder="0" applyAlignment="0" applyProtection="0"/>
    <xf numFmtId="0" fontId="0" fillId="46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177" fontId="43" fillId="35" borderId="0" applyNumberFormat="0" applyBorder="0" applyAlignment="0" applyProtection="0"/>
    <xf numFmtId="0" fontId="0" fillId="47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4" fillId="0" borderId="21">
      <alignment horizontal="center" vertical="center"/>
    </xf>
    <xf numFmtId="0" fontId="44" fillId="0" borderId="22">
      <alignment horizontal="center" vertical="center"/>
    </xf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177" fontId="43" fillId="48" borderId="0" applyNumberFormat="0" applyBorder="0" applyAlignment="0" applyProtection="0"/>
    <xf numFmtId="0" fontId="0" fillId="12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178" fontId="0" fillId="16" borderId="0" applyNumberFormat="0" applyBorder="0" applyAlignment="0" applyProtection="0"/>
    <xf numFmtId="0" fontId="0" fillId="16" borderId="0" applyNumberFormat="0" applyBorder="0" applyAlignment="0" applyProtection="0"/>
    <xf numFmtId="0" fontId="0" fillId="16" borderId="0" applyNumberFormat="0" applyBorder="0" applyAlignment="0" applyProtection="0"/>
    <xf numFmtId="178" fontId="0" fillId="16" borderId="0" applyNumberFormat="0" applyBorder="0" applyAlignment="0" applyProtection="0"/>
    <xf numFmtId="0" fontId="0" fillId="16" borderId="0" applyNumberFormat="0" applyBorder="0" applyAlignment="0" applyProtection="0"/>
    <xf numFmtId="0" fontId="0" fillId="16" borderId="0" applyNumberFormat="0" applyBorder="0" applyAlignment="0" applyProtection="0"/>
    <xf numFmtId="0" fontId="0" fillId="16" borderId="0" applyNumberFormat="0" applyBorder="0" applyAlignment="0" applyProtection="0"/>
    <xf numFmtId="177" fontId="43" fillId="38" borderId="0" applyNumberFormat="0" applyBorder="0" applyAlignment="0" applyProtection="0"/>
    <xf numFmtId="0" fontId="0" fillId="16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177" fontId="43" fillId="50" borderId="0" applyNumberFormat="0" applyBorder="0" applyAlignment="0" applyProtection="0"/>
    <xf numFmtId="0" fontId="0" fillId="20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177" fontId="43" fillId="43" borderId="0" applyNumberFormat="0" applyBorder="0" applyAlignment="0" applyProtection="0"/>
    <xf numFmtId="0" fontId="0" fillId="24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177" fontId="43" fillId="48" borderId="0" applyNumberFormat="0" applyBorder="0" applyAlignment="0" applyProtection="0"/>
    <xf numFmtId="0" fontId="0" fillId="2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177" fontId="43" fillId="52" borderId="0" applyNumberFormat="0" applyBorder="0" applyAlignment="0" applyProtection="0"/>
    <xf numFmtId="0" fontId="0" fillId="32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37" fontId="46" fillId="62" borderId="23" applyBorder="0" applyProtection="0">
      <alignment vertical="center"/>
    </xf>
    <xf numFmtId="37" fontId="46" fillId="62" borderId="23" applyBorder="0" applyProtection="0">
      <alignment vertical="center"/>
    </xf>
    <xf numFmtId="37" fontId="46" fillId="62" borderId="23" applyBorder="0" applyProtection="0">
      <alignment vertical="center"/>
    </xf>
    <xf numFmtId="37" fontId="46" fillId="62" borderId="23" applyBorder="0" applyProtection="0">
      <alignment vertical="center"/>
    </xf>
    <xf numFmtId="37" fontId="46" fillId="62" borderId="23" applyBorder="0" applyProtection="0">
      <alignment vertical="center"/>
    </xf>
    <xf numFmtId="37" fontId="46" fillId="62" borderId="23" applyBorder="0" applyProtection="0">
      <alignment vertical="center"/>
    </xf>
    <xf numFmtId="0" fontId="5" fillId="0" borderId="0" applyNumberFormat="0" applyFill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178" fontId="49" fillId="63" borderId="0" applyBorder="0">
      <alignment horizontal="left" vertical="center" indent="1"/>
    </xf>
    <xf numFmtId="0" fontId="49" fillId="63" borderId="0" applyBorder="0">
      <alignment horizontal="left" vertical="center" indent="1"/>
    </xf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62" borderId="24" applyNumberFormat="0" applyAlignment="0" applyProtection="0"/>
    <xf numFmtId="0" fontId="50" fillId="62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8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8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9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9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8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7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7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7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/>
    <xf numFmtId="0" fontId="52" fillId="0" borderId="0"/>
    <xf numFmtId="0" fontId="54" fillId="0" borderId="0"/>
    <xf numFmtId="0" fontId="54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5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41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4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43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9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9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5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5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5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5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5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6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43" fillId="0" borderId="0" applyFont="0" applyFill="0" applyBorder="0" applyAlignment="0" applyProtection="0"/>
    <xf numFmtId="176" fontId="59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3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3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3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3" fontId="5" fillId="0" borderId="0" applyFill="0" applyBorder="0" applyAlignment="0" applyProtection="0"/>
    <xf numFmtId="176" fontId="57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1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1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1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1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6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9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43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87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43" fillId="0" borderId="0" applyFont="0" applyFill="0" applyBorder="0" applyAlignment="0" applyProtection="0"/>
    <xf numFmtId="188" fontId="5" fillId="0" borderId="0" applyFont="0" applyFill="0" applyBorder="0" applyAlignment="0" applyProtection="0"/>
    <xf numFmtId="181" fontId="43" fillId="0" borderId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8" fillId="0" borderId="0" applyNumberFormat="0">
      <alignment horizontal="left"/>
    </xf>
    <xf numFmtId="0" fontId="48" fillId="0" borderId="26" applyNumberFormat="0" applyBorder="0">
      <alignment horizontal="right"/>
    </xf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3" fillId="0" borderId="27" applyNumberFormat="0" applyFill="0" applyProtection="0">
      <alignment horizontal="right" vertical="center"/>
    </xf>
    <xf numFmtId="37" fontId="64" fillId="64" borderId="28" applyBorder="0">
      <alignment horizontal="left" vertical="center" indent="1"/>
    </xf>
    <xf numFmtId="37" fontId="65" fillId="0" borderId="29" applyFill="0">
      <alignment vertical="center"/>
    </xf>
    <xf numFmtId="178" fontId="65" fillId="65" borderId="30" applyNumberFormat="0">
      <alignment horizontal="left" vertical="top" indent="1"/>
    </xf>
    <xf numFmtId="0" fontId="65" fillId="65" borderId="30" applyNumberFormat="0">
      <alignment horizontal="left" vertical="top" indent="1"/>
    </xf>
    <xf numFmtId="178" fontId="65" fillId="62" borderId="0" applyBorder="0">
      <alignment horizontal="left" vertical="center" indent="1"/>
    </xf>
    <xf numFmtId="0" fontId="65" fillId="62" borderId="0" applyBorder="0">
      <alignment horizontal="left" vertical="center" indent="1"/>
    </xf>
    <xf numFmtId="178" fontId="65" fillId="0" borderId="30" applyNumberFormat="0" applyFill="0">
      <alignment horizontal="centerContinuous" vertical="top"/>
    </xf>
    <xf numFmtId="0" fontId="65" fillId="0" borderId="30" applyNumberFormat="0" applyFill="0">
      <alignment horizontal="centerContinuous" vertical="top"/>
    </xf>
    <xf numFmtId="178" fontId="66" fillId="62" borderId="31" applyNumberFormat="0" applyBorder="0">
      <alignment horizontal="left" vertical="center" indent="1"/>
    </xf>
    <xf numFmtId="0" fontId="66" fillId="62" borderId="31" applyNumberFormat="0" applyBorder="0">
      <alignment horizontal="left" vertical="center" indent="1"/>
    </xf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70" fillId="0" borderId="34" applyNumberFormat="0" applyFill="0" applyAlignment="0" applyProtection="0"/>
    <xf numFmtId="0" fontId="70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179" fontId="30" fillId="0" borderId="35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2" fillId="0" borderId="37" applyNumberFormat="0" applyFill="0" applyAlignment="0" applyProtection="0"/>
    <xf numFmtId="0" fontId="72" fillId="0" borderId="37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181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51" borderId="24" applyNumberFormat="0" applyAlignment="0" applyProtection="0"/>
    <xf numFmtId="0" fontId="79" fillId="51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8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8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9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9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8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7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7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7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178" fontId="49" fillId="49" borderId="0">
      <alignment horizontal="right"/>
    </xf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181" fontId="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58" fillId="0" borderId="0"/>
    <xf numFmtId="179" fontId="0" fillId="0" borderId="0"/>
    <xf numFmtId="0" fontId="58" fillId="0" borderId="0"/>
    <xf numFmtId="0" fontId="58" fillId="0" borderId="0"/>
    <xf numFmtId="0" fontId="58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78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189" fontId="83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181" fontId="5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9" fontId="83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83" fillId="0" borderId="0"/>
    <xf numFmtId="0" fontId="0" fillId="0" borderId="0"/>
    <xf numFmtId="189" fontId="83" fillId="0" borderId="0"/>
    <xf numFmtId="0" fontId="0" fillId="0" borderId="0"/>
    <xf numFmtId="189" fontId="83" fillId="0" borderId="0"/>
    <xf numFmtId="0" fontId="0" fillId="0" borderId="0"/>
    <xf numFmtId="189" fontId="83" fillId="0" borderId="0"/>
    <xf numFmtId="0" fontId="0" fillId="0" borderId="0"/>
    <xf numFmtId="189" fontId="83" fillId="0" borderId="0"/>
    <xf numFmtId="0" fontId="0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181" fontId="5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9" fontId="84" fillId="0" borderId="0"/>
    <xf numFmtId="0" fontId="0" fillId="0" borderId="0"/>
    <xf numFmtId="189" fontId="8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" fillId="0" borderId="0"/>
    <xf numFmtId="181" fontId="0" fillId="0" borderId="0"/>
    <xf numFmtId="0" fontId="0" fillId="0" borderId="0"/>
    <xf numFmtId="0" fontId="55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57" fillId="0" borderId="0"/>
    <xf numFmtId="181" fontId="0" fillId="0" borderId="0"/>
    <xf numFmtId="181" fontId="5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181" fontId="0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5" fillId="0" borderId="0"/>
    <xf numFmtId="181" fontId="5" fillId="0" borderId="0"/>
    <xf numFmtId="0" fontId="57" fillId="0" borderId="0"/>
    <xf numFmtId="181" fontId="0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181" fontId="5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181" fontId="5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85" fillId="0" borderId="0"/>
    <xf numFmtId="0" fontId="57" fillId="0" borderId="0"/>
    <xf numFmtId="0" fontId="8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181" fontId="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0" fillId="0" borderId="0"/>
    <xf numFmtId="0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177" fontId="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58" fillId="0" borderId="0"/>
    <xf numFmtId="0" fontId="58" fillId="0" borderId="0"/>
    <xf numFmtId="0" fontId="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55" fillId="0" borderId="0"/>
    <xf numFmtId="181" fontId="0" fillId="0" borderId="0"/>
    <xf numFmtId="0" fontId="55" fillId="0" borderId="0"/>
    <xf numFmtId="181" fontId="0" fillId="0" borderId="0"/>
    <xf numFmtId="181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5" fillId="0" borderId="0"/>
    <xf numFmtId="0" fontId="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5" fillId="0" borderId="0"/>
    <xf numFmtId="0" fontId="0" fillId="0" borderId="0"/>
    <xf numFmtId="179" fontId="0" fillId="0" borderId="0"/>
    <xf numFmtId="0" fontId="0" fillId="0" borderId="0"/>
    <xf numFmtId="179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85" fillId="0" borderId="0"/>
    <xf numFmtId="190" fontId="5" fillId="0" borderId="0"/>
    <xf numFmtId="0" fontId="0" fillId="0" borderId="0"/>
    <xf numFmtId="0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5" fillId="0" borderId="0"/>
    <xf numFmtId="0" fontId="5" fillId="0" borderId="0"/>
    <xf numFmtId="190" fontId="5" fillId="0" borderId="0"/>
    <xf numFmtId="37" fontId="8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8" fillId="0" borderId="0"/>
    <xf numFmtId="0" fontId="58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8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8" fillId="0" borderId="0"/>
    <xf numFmtId="179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43" fillId="0" borderId="0"/>
    <xf numFmtId="181" fontId="5" fillId="0" borderId="0"/>
    <xf numFmtId="0" fontId="57" fillId="0" borderId="0"/>
    <xf numFmtId="0" fontId="8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181" fontId="5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" fillId="0" borderId="0"/>
    <xf numFmtId="181" fontId="5" fillId="0" borderId="0"/>
    <xf numFmtId="0" fontId="57" fillId="0" borderId="0"/>
    <xf numFmtId="178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0" fillId="0" borderId="0"/>
    <xf numFmtId="181" fontId="5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8" fillId="0" borderId="0"/>
    <xf numFmtId="0" fontId="5" fillId="0" borderId="0"/>
    <xf numFmtId="0" fontId="5" fillId="0" borderId="0"/>
    <xf numFmtId="178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86" fillId="0" borderId="0"/>
    <xf numFmtId="181" fontId="0" fillId="0" borderId="0"/>
    <xf numFmtId="181" fontId="0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0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7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3" fillId="0" borderId="0"/>
    <xf numFmtId="0" fontId="5" fillId="0" borderId="0"/>
    <xf numFmtId="0" fontId="8" fillId="0" borderId="0"/>
    <xf numFmtId="177" fontId="0" fillId="0" borderId="0"/>
    <xf numFmtId="179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57" fillId="0" borderId="0"/>
    <xf numFmtId="181" fontId="5" fillId="0" borderId="0"/>
    <xf numFmtId="181" fontId="0" fillId="0" borderId="0"/>
    <xf numFmtId="0" fontId="0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8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9" fontId="8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0" fillId="0" borderId="0"/>
    <xf numFmtId="0" fontId="5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9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55" fillId="0" borderId="0"/>
    <xf numFmtId="0" fontId="0" fillId="0" borderId="0"/>
    <xf numFmtId="179" fontId="0" fillId="0" borderId="0"/>
    <xf numFmtId="0" fontId="55" fillId="0" borderId="0"/>
    <xf numFmtId="0" fontId="0" fillId="0" borderId="0"/>
    <xf numFmtId="0" fontId="0" fillId="0" borderId="0"/>
    <xf numFmtId="179" fontId="0" fillId="0" borderId="0"/>
    <xf numFmtId="0" fontId="55" fillId="0" borderId="0"/>
    <xf numFmtId="0" fontId="0" fillId="0" borderId="0"/>
    <xf numFmtId="179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8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178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0" fillId="0" borderId="0"/>
    <xf numFmtId="0" fontId="55" fillId="0" borderId="0"/>
    <xf numFmtId="0" fontId="5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181" fontId="5" fillId="0" borderId="0"/>
    <xf numFmtId="0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83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83" fillId="0" borderId="0"/>
    <xf numFmtId="179" fontId="5" fillId="0" borderId="0"/>
    <xf numFmtId="0" fontId="0" fillId="0" borderId="0"/>
    <xf numFmtId="0" fontId="55" fillId="0" borderId="0"/>
    <xf numFmtId="179" fontId="5" fillId="0" borderId="0"/>
    <xf numFmtId="0" fontId="5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6" fillId="0" borderId="0"/>
    <xf numFmtId="0" fontId="0" fillId="0" borderId="0"/>
    <xf numFmtId="0" fontId="5" fillId="0" borderId="0"/>
    <xf numFmtId="181" fontId="5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8" fontId="0" fillId="0" borderId="0"/>
    <xf numFmtId="185" fontId="0" fillId="0" borderId="0"/>
    <xf numFmtId="178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0" fontId="88" fillId="0" borderId="0">
      <alignment vertical="center"/>
    </xf>
    <xf numFmtId="181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181" fontId="5" fillId="0" borderId="0"/>
    <xf numFmtId="181" fontId="5" fillId="0" borderId="0"/>
    <xf numFmtId="0" fontId="85" fillId="0" borderId="0"/>
    <xf numFmtId="181" fontId="0" fillId="0" borderId="0"/>
    <xf numFmtId="181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0" fontId="82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181" fontId="5" fillId="0" borderId="0"/>
    <xf numFmtId="181" fontId="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181" fontId="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" fillId="0" borderId="0"/>
    <xf numFmtId="0" fontId="55" fillId="0" borderId="0"/>
    <xf numFmtId="0" fontId="58" fillId="0" borderId="0"/>
    <xf numFmtId="0" fontId="5" fillId="0" borderId="0"/>
    <xf numFmtId="0" fontId="5" fillId="0" borderId="0"/>
    <xf numFmtId="178" fontId="5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178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8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83" fillId="0" borderId="0"/>
    <xf numFmtId="181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82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91" fontId="83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181" fontId="5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8" fillId="0" borderId="0"/>
    <xf numFmtId="0" fontId="0" fillId="0" borderId="0"/>
    <xf numFmtId="0" fontId="0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81" fontId="0" fillId="0" borderId="0"/>
    <xf numFmtId="181" fontId="5" fillId="0" borderId="0"/>
    <xf numFmtId="181" fontId="0" fillId="0" borderId="0"/>
    <xf numFmtId="179" fontId="0" fillId="0" borderId="0"/>
    <xf numFmtId="181" fontId="0" fillId="0" borderId="0"/>
    <xf numFmtId="181" fontId="0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5" fillId="0" borderId="0"/>
    <xf numFmtId="181" fontId="5" fillId="0" borderId="0"/>
    <xf numFmtId="0" fontId="0" fillId="0" borderId="0"/>
    <xf numFmtId="181" fontId="0" fillId="0" borderId="0"/>
    <xf numFmtId="181" fontId="5" fillId="0" borderId="0"/>
    <xf numFmtId="179" fontId="0" fillId="0" borderId="0"/>
    <xf numFmtId="181" fontId="5" fillId="0" borderId="0"/>
    <xf numFmtId="181" fontId="5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0" fillId="0" borderId="0"/>
    <xf numFmtId="0" fontId="5" fillId="0" borderId="0"/>
    <xf numFmtId="0" fontId="8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89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181" fontId="5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5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5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91" fontId="8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4" fillId="41" borderId="39" applyNumberFormat="0" applyFont="0" applyAlignment="0" applyProtection="0"/>
    <xf numFmtId="0" fontId="54" fillId="41" borderId="39" applyNumberFormat="0" applyFont="0" applyAlignment="0" applyProtection="0"/>
    <xf numFmtId="0" fontId="43" fillId="41" borderId="39" applyNumberFormat="0" applyFont="0" applyAlignment="0" applyProtection="0"/>
    <xf numFmtId="0" fontId="43" fillId="41" borderId="39" applyNumberFormat="0" applyFont="0" applyAlignment="0" applyProtection="0"/>
    <xf numFmtId="0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178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178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43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43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43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43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177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43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178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177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177" fontId="90" fillId="41" borderId="39" applyNumberFormat="0" applyFont="0" applyAlignment="0" applyProtection="0"/>
    <xf numFmtId="177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43" fillId="41" borderId="39" applyNumberFormat="0" applyFont="0" applyAlignment="0" applyProtection="0"/>
    <xf numFmtId="0" fontId="43" fillId="41" borderId="39" applyNumberFormat="0" applyFont="0" applyAlignment="0" applyProtection="0"/>
    <xf numFmtId="0" fontId="43" fillId="41" borderId="39" applyNumberFormat="0" applyFont="0" applyAlignment="0" applyProtection="0"/>
    <xf numFmtId="177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0" fillId="3" borderId="13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62" borderId="40" applyNumberFormat="0" applyAlignment="0" applyProtection="0"/>
    <xf numFmtId="0" fontId="91" fillId="62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8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8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9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7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8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7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7" fontId="91" fillId="49" borderId="40" applyNumberFormat="0" applyAlignment="0" applyProtection="0"/>
    <xf numFmtId="177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7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40" fontId="89" fillId="62" borderId="0">
      <alignment horizontal="right"/>
    </xf>
    <xf numFmtId="0" fontId="92" fillId="41" borderId="0">
      <alignment horizontal="center"/>
    </xf>
    <xf numFmtId="0" fontId="93" fillId="66" borderId="41"/>
    <xf numFmtId="0" fontId="94" fillId="0" borderId="0" applyBorder="0">
      <alignment horizontal="centerContinuous"/>
    </xf>
    <xf numFmtId="0" fontId="95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9" fillId="0" borderId="0" applyFont="0" applyFill="0" applyBorder="0" applyAlignment="0" applyProtection="0"/>
    <xf numFmtId="178" fontId="97" fillId="63" borderId="0">
      <alignment horizontal="left" indent="1"/>
    </xf>
    <xf numFmtId="0" fontId="97" fillId="63" borderId="0">
      <alignment horizontal="left" indent="1"/>
    </xf>
    <xf numFmtId="0" fontId="98" fillId="67" borderId="21" applyBorder="0">
      <alignment horizontal="center" vertical="center" wrapText="1"/>
    </xf>
    <xf numFmtId="0" fontId="98" fillId="68" borderId="21" applyBorder="0">
      <alignment horizontal="center" vertical="center" wrapText="1"/>
    </xf>
    <xf numFmtId="0" fontId="98" fillId="69" borderId="21" applyBorder="0">
      <alignment horizontal="center" vertical="center" wrapText="1"/>
    </xf>
    <xf numFmtId="0" fontId="99" fillId="70" borderId="21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178" fontId="101" fillId="63" borderId="0" applyBorder="0">
      <alignment horizontal="left" vertical="center" indent="1"/>
    </xf>
    <xf numFmtId="0" fontId="101" fillId="63" borderId="0" applyBorder="0">
      <alignment horizontal="left" vertical="center" indent="1"/>
    </xf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3" applyNumberFormat="0" applyFill="0" applyAlignment="0" applyProtection="0"/>
    <xf numFmtId="0" fontId="104" fillId="0" borderId="43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178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178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5" fillId="0" borderId="22" applyNumberFormat="0" applyFill="0" applyProtection="0">
      <alignment horizontal="left" vertical="center"/>
    </xf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5" fillId="0" borderId="22" applyNumberFormat="0" applyFill="0" applyProtection="0">
      <alignment horizontal="left" vertical="center"/>
    </xf>
    <xf numFmtId="0" fontId="105" fillId="0" borderId="22" applyNumberFormat="0" applyFill="0" applyProtection="0">
      <alignment horizontal="left" vertical="center"/>
    </xf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5" fillId="0" borderId="22" applyNumberFormat="0" applyFill="0" applyProtection="0">
      <alignment horizontal="left" vertical="center"/>
    </xf>
    <xf numFmtId="0" fontId="105" fillId="0" borderId="22" applyNumberFormat="0" applyFill="0" applyProtection="0">
      <alignment horizontal="left" vertical="center"/>
    </xf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5" fillId="0" borderId="22" applyNumberFormat="0" applyFill="0" applyProtection="0">
      <alignment horizontal="left" vertical="center"/>
    </xf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178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179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0" fillId="0" borderId="0" applyNumberFormat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58" fillId="0" borderId="0"/>
    <xf numFmtId="0" fontId="0" fillId="0" borderId="0">
      <alignment vertical="center"/>
    </xf>
    <xf numFmtId="0" fontId="107" fillId="0" borderId="0"/>
  </cellStyleXfs>
  <cellXfs count="2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3" fontId="5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center" vertical="center"/>
    </xf>
    <xf numFmtId="41" fontId="3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41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indent="2"/>
    </xf>
    <xf numFmtId="0" fontId="4" fillId="0" borderId="0" xfId="0" applyFont="1" applyAlignment="1">
      <alignment horizontal="right" vertical="center" wrapText="1"/>
    </xf>
    <xf numFmtId="183" fontId="9" fillId="0" borderId="0" xfId="0" applyNumberFormat="1" applyFont="1" applyAlignment="1">
      <alignment horizontal="right" vertical="top" indent="3"/>
    </xf>
    <xf numFmtId="183" fontId="1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top" wrapText="1"/>
    </xf>
    <xf numFmtId="183" fontId="13" fillId="0" borderId="0" xfId="0" applyNumberFormat="1" applyFont="1" applyAlignment="1">
      <alignment horizontal="right" vertical="top" indent="3"/>
    </xf>
    <xf numFmtId="183" fontId="11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right" vertical="center" wrapText="1"/>
    </xf>
    <xf numFmtId="0" fontId="14" fillId="0" borderId="0" xfId="0" applyFont="1" applyAlignment="1">
      <alignment horizontal="left" vertical="top" wrapText="1" indent="2"/>
    </xf>
    <xf numFmtId="0" fontId="1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183" fontId="9" fillId="0" borderId="0" xfId="0" applyNumberFormat="1" applyFont="1" applyAlignment="1">
      <alignment horizontal="right" vertical="top" indent="5"/>
    </xf>
    <xf numFmtId="183" fontId="13" fillId="0" borderId="0" xfId="0" applyNumberFormat="1" applyFont="1" applyAlignment="1">
      <alignment horizontal="right" vertical="top" indent="5"/>
    </xf>
    <xf numFmtId="0" fontId="3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11" fillId="0" borderId="0" xfId="0" applyFont="1" applyAlignment="1">
      <alignment horizontal="right" vertical="top" wrapText="1"/>
    </xf>
    <xf numFmtId="0" fontId="1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indent="3"/>
    </xf>
    <xf numFmtId="0" fontId="12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  <xf numFmtId="183" fontId="3" fillId="0" borderId="0" xfId="0" applyNumberFormat="1" applyFont="1" applyAlignment="1">
      <alignment horizontal="right" vertical="top" wrapText="1"/>
    </xf>
    <xf numFmtId="183" fontId="5" fillId="0" borderId="0" xfId="0" applyNumberFormat="1" applyFont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83" fontId="3" fillId="0" borderId="0" xfId="0" applyNumberFormat="1" applyFont="1" applyAlignment="1">
      <alignment horizontal="center" vertical="top" wrapText="1"/>
    </xf>
    <xf numFmtId="183" fontId="5" fillId="0" borderId="0" xfId="0" applyNumberFormat="1" applyFont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183" fontId="16" fillId="0" borderId="0" xfId="0" applyNumberFormat="1" applyFont="1" applyAlignment="1">
      <alignment horizontal="center" vertical="top"/>
    </xf>
    <xf numFmtId="183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183" fontId="5" fillId="0" borderId="0" xfId="0" applyNumberFormat="1" applyFont="1" applyAlignment="1">
      <alignment vertical="top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183" fontId="3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183" fontId="9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2"/>
    </xf>
    <xf numFmtId="183" fontId="13" fillId="0" borderId="0" xfId="0" applyNumberFormat="1" applyFont="1" applyAlignment="1">
      <alignment horizontal="right" vertical="top" wrapText="1" inden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183" fontId="3" fillId="0" borderId="0" xfId="0" applyNumberFormat="1" applyFont="1" applyAlignment="1">
      <alignment horizontal="right" vertical="top" wrapText="1" indent="4"/>
    </xf>
    <xf numFmtId="183" fontId="13" fillId="0" borderId="0" xfId="0" applyNumberFormat="1" applyFont="1" applyAlignment="1">
      <alignment horizontal="right" vertical="top" wrapText="1" indent="4"/>
    </xf>
    <xf numFmtId="0" fontId="17" fillId="0" borderId="0" xfId="0" applyFont="1"/>
    <xf numFmtId="0" fontId="18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center" textRotation="180" wrapText="1"/>
    </xf>
    <xf numFmtId="0" fontId="11" fillId="0" borderId="0" xfId="0" applyFont="1" applyAlignment="1">
      <alignment horizontal="center" vertical="center" textRotation="180" wrapText="1"/>
    </xf>
    <xf numFmtId="0" fontId="3" fillId="0" borderId="2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textRotation="180" wrapText="1"/>
    </xf>
    <xf numFmtId="0" fontId="5" fillId="0" borderId="1" xfId="0" applyFont="1" applyBorder="1" applyAlignment="1">
      <alignment horizontal="center" vertical="top" textRotation="180" wrapText="1"/>
    </xf>
    <xf numFmtId="0" fontId="3" fillId="0" borderId="9" xfId="0" applyFont="1" applyBorder="1" applyAlignment="1">
      <alignment horizontal="left" vertical="center" wrapText="1"/>
    </xf>
    <xf numFmtId="184" fontId="3" fillId="0" borderId="0" xfId="1" applyNumberFormat="1" applyFont="1" applyFill="1" applyBorder="1" applyAlignment="1">
      <alignment horizontal="right" vertical="center"/>
    </xf>
    <xf numFmtId="193" fontId="2" fillId="0" borderId="0" xfId="1" applyNumberFormat="1" applyFont="1" applyAlignment="1">
      <alignment vertical="top"/>
    </xf>
    <xf numFmtId="194" fontId="2" fillId="0" borderId="0" xfId="0" applyNumberFormat="1" applyFont="1" applyAlignment="1">
      <alignment vertical="top"/>
    </xf>
    <xf numFmtId="0" fontId="5" fillId="0" borderId="10" xfId="0" applyFont="1" applyBorder="1" applyAlignment="1">
      <alignment vertical="center" wrapText="1"/>
    </xf>
    <xf numFmtId="184" fontId="5" fillId="0" borderId="0" xfId="1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vertical="center" wrapText="1"/>
    </xf>
    <xf numFmtId="184" fontId="3" fillId="0" borderId="1" xfId="1" applyNumberFormat="1" applyFont="1" applyFill="1" applyBorder="1" applyAlignment="1">
      <alignment horizontal="right" vertical="center"/>
    </xf>
    <xf numFmtId="184" fontId="5" fillId="0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85" fontId="17" fillId="0" borderId="0" xfId="1" applyNumberFormat="1" applyFont="1" applyAlignment="1">
      <alignment vertical="top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vertical="top"/>
    </xf>
    <xf numFmtId="185" fontId="19" fillId="0" borderId="0" xfId="1" applyNumberFormat="1" applyFont="1" applyAlignment="1">
      <alignment vertical="top"/>
    </xf>
    <xf numFmtId="184" fontId="19" fillId="0" borderId="0" xfId="1" applyNumberFormat="1" applyFont="1" applyFill="1" applyBorder="1" applyAlignment="1">
      <alignment horizontal="right" vertical="center"/>
    </xf>
    <xf numFmtId="195" fontId="2" fillId="0" borderId="0" xfId="0" applyNumberFormat="1" applyFont="1" applyAlignment="1">
      <alignment vertical="top"/>
    </xf>
    <xf numFmtId="196" fontId="19" fillId="0" borderId="0" xfId="0" applyNumberFormat="1" applyFont="1" applyAlignment="1">
      <alignment vertical="top"/>
    </xf>
    <xf numFmtId="185" fontId="20" fillId="0" borderId="0" xfId="1" applyNumberFormat="1" applyFont="1" applyAlignment="1">
      <alignment vertical="top"/>
    </xf>
    <xf numFmtId="184" fontId="21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 textRotation="180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1" xfId="0" applyFont="1" applyBorder="1" applyAlignment="1">
      <alignment horizontal="left" vertical="center" indent="4"/>
    </xf>
    <xf numFmtId="0" fontId="5" fillId="0" borderId="1" xfId="0" applyFont="1" applyBorder="1" applyAlignment="1">
      <alignment vertical="center" wrapText="1"/>
    </xf>
    <xf numFmtId="0" fontId="2" fillId="0" borderId="0" xfId="0" applyFont="1" applyFill="1"/>
    <xf numFmtId="0" fontId="12" fillId="0" borderId="0" xfId="0" applyFont="1" applyFill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5" fillId="0" borderId="0" xfId="0" applyFont="1" applyFill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" fontId="5" fillId="0" borderId="0" xfId="0" applyNumberFormat="1" applyFont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83" fontId="5" fillId="0" borderId="0" xfId="0" applyNumberFormat="1" applyFont="1" applyFill="1" applyAlignment="1">
      <alignment horizontal="right" vertical="top" indent="1"/>
    </xf>
    <xf numFmtId="0" fontId="5" fillId="0" borderId="0" xfId="0" applyFont="1" applyFill="1" applyAlignment="1">
      <alignment vertical="top" wrapText="1"/>
    </xf>
    <xf numFmtId="183" fontId="5" fillId="0" borderId="0" xfId="0" applyNumberFormat="1" applyFont="1" applyAlignment="1">
      <alignment horizontal="right" vertical="top" indent="1"/>
    </xf>
    <xf numFmtId="1" fontId="3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183" fontId="5" fillId="0" borderId="1" xfId="0" applyNumberFormat="1" applyFont="1" applyFill="1" applyBorder="1" applyAlignment="1">
      <alignment horizontal="right" vertical="top" indent="1"/>
    </xf>
    <xf numFmtId="183" fontId="5" fillId="0" borderId="1" xfId="0" applyNumberFormat="1" applyFont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top" wrapText="1"/>
    </xf>
    <xf numFmtId="183" fontId="3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center" wrapText="1"/>
    </xf>
    <xf numFmtId="183" fontId="3" fillId="0" borderId="1" xfId="0" applyNumberFormat="1" applyFont="1" applyBorder="1" applyAlignment="1">
      <alignment horizontal="right" vertical="top" indent="1"/>
    </xf>
    <xf numFmtId="0" fontId="12" fillId="0" borderId="0" xfId="0" applyFont="1" applyFill="1" applyAlignment="1">
      <alignment horizontal="center" vertical="center"/>
    </xf>
    <xf numFmtId="197" fontId="5" fillId="0" borderId="0" xfId="1" applyNumberFormat="1" applyFont="1" applyFill="1" applyBorder="1" applyAlignment="1">
      <alignment vertical="center"/>
    </xf>
    <xf numFmtId="197" fontId="11" fillId="0" borderId="0" xfId="1" applyNumberFormat="1" applyFont="1" applyFill="1" applyAlignment="1">
      <alignment vertical="center"/>
    </xf>
    <xf numFmtId="183" fontId="11" fillId="0" borderId="0" xfId="0" applyNumberFormat="1" applyFont="1" applyFill="1" applyAlignment="1">
      <alignment vertical="center"/>
    </xf>
    <xf numFmtId="1" fontId="11" fillId="0" borderId="0" xfId="0" applyNumberFormat="1" applyFont="1" applyAlignment="1">
      <alignment vertical="center"/>
    </xf>
    <xf numFmtId="1" fontId="11" fillId="0" borderId="0" xfId="0" applyNumberFormat="1" applyFont="1" applyFill="1" applyAlignment="1">
      <alignment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" fillId="0" borderId="2" xfId="0" applyFont="1" applyBorder="1" applyAlignment="1">
      <alignment horizontal="right" vertical="center" wrapText="1" indent="1"/>
    </xf>
    <xf numFmtId="0" fontId="2" fillId="0" borderId="0" xfId="0" applyFont="1" applyAlignment="1">
      <alignment horizontal="center" vertical="top" wrapText="1"/>
    </xf>
    <xf numFmtId="3" fontId="3" fillId="0" borderId="0" xfId="0" applyNumberFormat="1" applyFont="1" applyAlignment="1">
      <alignment horizontal="right" vertical="top" wrapText="1" indent="1"/>
    </xf>
    <xf numFmtId="3" fontId="3" fillId="0" borderId="0" xfId="0" applyNumberFormat="1" applyFont="1" applyAlignment="1">
      <alignment horizontal="right" vertical="top" wrapText="1" indent="2"/>
    </xf>
    <xf numFmtId="3" fontId="12" fillId="0" borderId="0" xfId="0" applyNumberFormat="1" applyFont="1" applyAlignment="1">
      <alignment horizontal="right" vertical="top" wrapText="1" indent="2"/>
    </xf>
    <xf numFmtId="0" fontId="22" fillId="0" borderId="0" xfId="0" applyFont="1" applyAlignment="1">
      <alignment vertical="center"/>
    </xf>
    <xf numFmtId="3" fontId="5" fillId="0" borderId="0" xfId="0" applyNumberFormat="1" applyFont="1" applyAlignment="1">
      <alignment horizontal="right" vertical="top" wrapText="1" indent="1"/>
    </xf>
    <xf numFmtId="183" fontId="5" fillId="0" borderId="0" xfId="0" applyNumberFormat="1" applyFont="1" applyAlignment="1">
      <alignment horizontal="right" vertical="top" wrapText="1" indent="1"/>
    </xf>
    <xf numFmtId="3" fontId="5" fillId="0" borderId="0" xfId="0" applyNumberFormat="1" applyFont="1" applyAlignment="1">
      <alignment horizontal="right" vertical="top" wrapText="1" indent="2"/>
    </xf>
    <xf numFmtId="3" fontId="11" fillId="0" borderId="0" xfId="0" applyNumberFormat="1" applyFont="1" applyAlignment="1">
      <alignment horizontal="right" vertical="top" wrapText="1" indent="2"/>
    </xf>
    <xf numFmtId="183" fontId="2" fillId="0" borderId="0" xfId="0" applyNumberFormat="1" applyFont="1" applyAlignment="1">
      <alignment vertical="top"/>
    </xf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vertical="top" wrapText="1"/>
    </xf>
    <xf numFmtId="183" fontId="22" fillId="0" borderId="0" xfId="0" applyNumberFormat="1" applyFont="1" applyAlignment="1">
      <alignment vertical="top"/>
    </xf>
    <xf numFmtId="3" fontId="3" fillId="0" borderId="1" xfId="0" applyNumberFormat="1" applyFont="1" applyBorder="1" applyAlignment="1">
      <alignment horizontal="right" vertical="top" wrapText="1" indent="1"/>
    </xf>
    <xf numFmtId="183" fontId="3" fillId="0" borderId="1" xfId="0" applyNumberFormat="1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right" vertical="center" wrapText="1" indent="1"/>
    </xf>
    <xf numFmtId="183" fontId="3" fillId="0" borderId="2" xfId="0" applyNumberFormat="1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Border="1"/>
    <xf numFmtId="184" fontId="3" fillId="0" borderId="0" xfId="0" applyNumberFormat="1" applyFont="1" applyAlignment="1">
      <alignment horizontal="right" vertical="top" wrapText="1" indent="1"/>
    </xf>
    <xf numFmtId="184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/>
    </xf>
    <xf numFmtId="184" fontId="5" fillId="0" borderId="0" xfId="0" applyNumberFormat="1" applyFont="1" applyBorder="1" applyAlignment="1">
      <alignment vertical="top"/>
    </xf>
    <xf numFmtId="184" fontId="5" fillId="0" borderId="0" xfId="0" applyNumberFormat="1" applyFont="1" applyAlignment="1">
      <alignment horizontal="right" vertical="top" wrapText="1" indent="1"/>
    </xf>
    <xf numFmtId="184" fontId="5" fillId="0" borderId="0" xfId="0" applyNumberFormat="1" applyFont="1" applyAlignment="1">
      <alignment horizontal="center" vertical="top" wrapText="1"/>
    </xf>
    <xf numFmtId="4" fontId="5" fillId="0" borderId="0" xfId="0" applyNumberFormat="1" applyFont="1" applyAlignment="1">
      <alignment horizontal="center" vertical="top" wrapText="1"/>
    </xf>
    <xf numFmtId="3" fontId="5" fillId="0" borderId="0" xfId="0" applyNumberFormat="1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185" fontId="5" fillId="0" borderId="0" xfId="1" applyNumberFormat="1" applyFont="1" applyFill="1" applyAlignment="1">
      <alignment horizontal="center" vertical="top"/>
    </xf>
    <xf numFmtId="0" fontId="3" fillId="0" borderId="12" xfId="0" applyFont="1" applyBorder="1" applyAlignment="1">
      <alignment horizontal="center" vertical="top" wrapText="1"/>
    </xf>
    <xf numFmtId="0" fontId="1" fillId="0" borderId="12" xfId="0" applyFont="1" applyBorder="1"/>
    <xf numFmtId="3" fontId="3" fillId="0" borderId="0" xfId="0" applyNumberFormat="1" applyFont="1" applyAlignment="1">
      <alignment horizontal="right" vertical="top" wrapText="1" indent="3"/>
    </xf>
    <xf numFmtId="0" fontId="3" fillId="0" borderId="0" xfId="0" applyFont="1" applyAlignment="1">
      <alignment horizontal="right" vertical="top" wrapText="1" indent="4"/>
    </xf>
    <xf numFmtId="3" fontId="5" fillId="0" borderId="0" xfId="0" applyNumberFormat="1" applyFont="1" applyAlignment="1">
      <alignment horizontal="right" vertical="top" wrapText="1" indent="3"/>
    </xf>
    <xf numFmtId="0" fontId="5" fillId="0" borderId="0" xfId="0" applyFont="1" applyAlignment="1">
      <alignment horizontal="right" vertical="top" wrapText="1" indent="4"/>
    </xf>
    <xf numFmtId="0" fontId="3" fillId="0" borderId="1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 indent="3"/>
    </xf>
    <xf numFmtId="4" fontId="3" fillId="0" borderId="0" xfId="0" applyNumberFormat="1" applyFont="1" applyAlignment="1">
      <alignment horizontal="right" vertical="top" wrapText="1" indent="4"/>
    </xf>
    <xf numFmtId="2" fontId="3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 indent="3"/>
    </xf>
    <xf numFmtId="176" fontId="5" fillId="0" borderId="0" xfId="1" applyFont="1" applyFill="1" applyAlignment="1">
      <alignment horizontal="center" vertical="top"/>
    </xf>
    <xf numFmtId="0" fontId="4" fillId="0" borderId="0" xfId="0" applyFont="1" applyAlignment="1">
      <alignment vertical="center" wrapText="1"/>
    </xf>
    <xf numFmtId="183" fontId="3" fillId="0" borderId="0" xfId="0" applyNumberFormat="1" applyFont="1" applyAlignment="1">
      <alignment horizontal="right" vertical="top" wrapText="1" indent="2"/>
    </xf>
    <xf numFmtId="184" fontId="5" fillId="0" borderId="0" xfId="0" applyNumberFormat="1" applyFont="1" applyAlignment="1">
      <alignment vertical="top"/>
    </xf>
    <xf numFmtId="183" fontId="5" fillId="0" borderId="0" xfId="0" applyNumberFormat="1" applyFont="1" applyAlignment="1">
      <alignment horizontal="right" vertical="top" wrapText="1" indent="2"/>
    </xf>
    <xf numFmtId="0" fontId="1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184" fontId="3" fillId="0" borderId="0" xfId="0" applyNumberFormat="1" applyFont="1" applyAlignment="1">
      <alignment horizontal="right" vertical="top" wrapText="1" indent="2"/>
    </xf>
    <xf numFmtId="184" fontId="5" fillId="0" borderId="0" xfId="0" applyNumberFormat="1" applyFont="1" applyAlignment="1">
      <alignment horizontal="right" vertical="top" wrapText="1" indent="2"/>
    </xf>
    <xf numFmtId="4" fontId="2" fillId="0" borderId="0" xfId="0" applyNumberFormat="1" applyFont="1"/>
    <xf numFmtId="1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3" fontId="12" fillId="0" borderId="12" xfId="0" applyNumberFormat="1" applyFont="1" applyBorder="1" applyAlignment="1">
      <alignment horizontal="right" vertical="center" wrapText="1"/>
    </xf>
    <xf numFmtId="0" fontId="2" fillId="0" borderId="12" xfId="0" applyFont="1" applyBorder="1"/>
    <xf numFmtId="3" fontId="5" fillId="0" borderId="0" xfId="0" applyNumberFormat="1" applyFont="1" applyAlignment="1">
      <alignment vertical="top"/>
    </xf>
    <xf numFmtId="4" fontId="5" fillId="0" borderId="0" xfId="0" applyNumberFormat="1" applyFont="1" applyAlignment="1">
      <alignment vertical="top"/>
    </xf>
    <xf numFmtId="0" fontId="8" fillId="2" borderId="0" xfId="0" applyFont="1" applyFill="1"/>
    <xf numFmtId="0" fontId="23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64A0A0"/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12.xml"/><Relationship Id="rId24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9.xml"/><Relationship Id="rId21" Type="http://schemas.openxmlformats.org/officeDocument/2006/relationships/externalLink" Target="externalLinks/externalLink8.xml"/><Relationship Id="rId20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6.xml"/><Relationship Id="rId18" Type="http://schemas.openxmlformats.org/officeDocument/2006/relationships/externalLink" Target="externalLinks/externalLink5.xml"/><Relationship Id="rId17" Type="http://schemas.openxmlformats.org/officeDocument/2006/relationships/externalLink" Target="externalLinks/externalLink4.xml"/><Relationship Id="rId1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2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Jadual_ByState_Template_20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Komponen"/>
      <sheetName val="Database"/>
      <sheetName val="J1"/>
      <sheetName val="J2&amp;3"/>
      <sheetName val="J4-6"/>
      <sheetName val="J7"/>
      <sheetName val="J8"/>
      <sheetName val="T8"/>
      <sheetName val="Jadual 9"/>
      <sheetName val="Jadual 9 &amp; 10"/>
      <sheetName val="Destinasi"/>
      <sheetName val="Time Series_J9"/>
      <sheetName val="T9"/>
      <sheetName val="J10"/>
      <sheetName val="Jadual 11 &amp; 12"/>
      <sheetName val="Jadual 11 &amp; 12 (1)"/>
      <sheetName val="J11&amp;12"/>
      <sheetName val="T11"/>
      <sheetName val="Table 11 (2)"/>
      <sheetName val="T12"/>
      <sheetName val="J13"/>
      <sheetName val="T13_Age"/>
      <sheetName val="Table 13_Age (2)"/>
      <sheetName val="T13_Ethnic"/>
      <sheetName val="T13_Edu"/>
      <sheetName val="J13a"/>
      <sheetName val="T13_Income"/>
      <sheetName val="T13_Employment"/>
      <sheetName val="Jadual 14 &amp; 15"/>
      <sheetName val="J14&amp;15"/>
      <sheetName val="Jadual 14 - 16"/>
    </sheetNames>
    <sheetDataSet>
      <sheetData sheetId="0"/>
      <sheetData sheetId="1"/>
      <sheetData sheetId="2"/>
      <sheetData sheetId="3">
        <row r="38">
          <cell r="J38">
            <v>1211.20382670128</v>
          </cell>
        </row>
        <row r="39">
          <cell r="J39">
            <v>3755.682</v>
          </cell>
        </row>
        <row r="40">
          <cell r="J40">
            <v>4335.24011103116</v>
          </cell>
        </row>
        <row r="41">
          <cell r="J41">
            <v>322.499036580115</v>
          </cell>
        </row>
        <row r="42">
          <cell r="J42">
            <v>279.38563855306</v>
          </cell>
        </row>
        <row r="43">
          <cell r="J43">
            <v>2.24678266562286</v>
          </cell>
        </row>
        <row r="48">
          <cell r="J48">
            <v>1002.81372997629</v>
          </cell>
        </row>
        <row r="49">
          <cell r="J49">
            <v>3225.428</v>
          </cell>
        </row>
        <row r="50">
          <cell r="J50">
            <v>3660.074</v>
          </cell>
        </row>
        <row r="51">
          <cell r="J51">
            <v>310.908732105101</v>
          </cell>
        </row>
        <row r="52">
          <cell r="J52">
            <v>273.987282764308</v>
          </cell>
        </row>
        <row r="53">
          <cell r="J53">
            <v>2.48663839005127</v>
          </cell>
        </row>
        <row r="58">
          <cell r="J58">
            <v>583.870113407444</v>
          </cell>
        </row>
        <row r="59">
          <cell r="J59">
            <v>1950.771</v>
          </cell>
        </row>
        <row r="60">
          <cell r="J60">
            <v>2139.229</v>
          </cell>
        </row>
        <row r="61">
          <cell r="J61">
            <v>299.302231480499</v>
          </cell>
        </row>
        <row r="62">
          <cell r="J62">
            <v>272.934834656525</v>
          </cell>
        </row>
        <row r="63">
          <cell r="J63">
            <v>2.20641466269676</v>
          </cell>
        </row>
        <row r="68">
          <cell r="J68">
            <v>455.618787502378</v>
          </cell>
        </row>
        <row r="69">
          <cell r="J69">
            <v>1669.175</v>
          </cell>
        </row>
        <row r="70">
          <cell r="J70">
            <v>1799.569</v>
          </cell>
        </row>
        <row r="71">
          <cell r="J71">
            <v>272.960466998594</v>
          </cell>
        </row>
        <row r="72">
          <cell r="J72">
            <v>253.182171676873</v>
          </cell>
        </row>
        <row r="73">
          <cell r="J73">
            <v>2.34666728507533</v>
          </cell>
        </row>
        <row r="78">
          <cell r="J78">
            <v>78.0132972300273</v>
          </cell>
        </row>
        <row r="79">
          <cell r="J79">
            <v>406.796</v>
          </cell>
        </row>
        <row r="80">
          <cell r="J80">
            <v>426.818</v>
          </cell>
        </row>
        <row r="81">
          <cell r="J81">
            <v>191.774986061877</v>
          </cell>
        </row>
        <row r="82">
          <cell r="J82">
            <v>182.778836014478</v>
          </cell>
        </row>
        <row r="83">
          <cell r="J83">
            <v>2.20914101234874</v>
          </cell>
        </row>
        <row r="88">
          <cell r="J88">
            <v>224.066307262435</v>
          </cell>
        </row>
        <row r="89">
          <cell r="J89">
            <v>1193.108</v>
          </cell>
        </row>
        <row r="90">
          <cell r="J90">
            <v>1246.963</v>
          </cell>
        </row>
        <row r="91">
          <cell r="J91">
            <v>187.800523726633</v>
          </cell>
        </row>
        <row r="92">
          <cell r="J92">
            <v>179.689619709996</v>
          </cell>
        </row>
        <row r="93">
          <cell r="J93">
            <v>2.4461569279846</v>
          </cell>
        </row>
        <row r="98">
          <cell r="J98">
            <v>578.805530778065</v>
          </cell>
        </row>
        <row r="99">
          <cell r="J99">
            <v>2087.37244564133</v>
          </cell>
        </row>
        <row r="100">
          <cell r="J100">
            <v>2695.00103783132</v>
          </cell>
        </row>
        <row r="101">
          <cell r="J101">
            <v>277.289053990664</v>
          </cell>
        </row>
        <row r="102">
          <cell r="J102">
            <v>214.770058583663</v>
          </cell>
        </row>
        <row r="103">
          <cell r="J103">
            <v>2.55342085481156</v>
          </cell>
        </row>
        <row r="108">
          <cell r="J108">
            <v>616.749928734989</v>
          </cell>
        </row>
        <row r="109">
          <cell r="J109">
            <v>2155.5079034032</v>
          </cell>
        </row>
        <row r="110">
          <cell r="J110">
            <v>2816.39830281391</v>
          </cell>
        </row>
        <row r="111">
          <cell r="J111">
            <v>286.127426283727</v>
          </cell>
        </row>
        <row r="112">
          <cell r="J112">
            <v>218.985336029632</v>
          </cell>
        </row>
        <row r="113">
          <cell r="J113">
            <v>2.32017692530192</v>
          </cell>
        </row>
      </sheetData>
      <sheetData sheetId="4">
        <row r="51">
          <cell r="J51">
            <v>2280.746</v>
          </cell>
        </row>
        <row r="52">
          <cell r="J52">
            <v>1474.936</v>
          </cell>
        </row>
        <row r="54">
          <cell r="J54">
            <v>2756.17147068698</v>
          </cell>
        </row>
        <row r="55">
          <cell r="J55">
            <v>1579.06864034418</v>
          </cell>
        </row>
        <row r="61">
          <cell r="J61">
            <v>1963.389</v>
          </cell>
        </row>
        <row r="62">
          <cell r="J62">
            <v>1262.039</v>
          </cell>
        </row>
        <row r="64">
          <cell r="J64">
            <v>2350.641</v>
          </cell>
        </row>
        <row r="65">
          <cell r="J65">
            <v>1309.433</v>
          </cell>
        </row>
      </sheetData>
      <sheetData sheetId="5">
        <row r="71">
          <cell r="J71">
            <v>414.815558706956</v>
          </cell>
        </row>
        <row r="72">
          <cell r="J72">
            <v>796.388267994325</v>
          </cell>
        </row>
        <row r="73">
          <cell r="J73">
            <v>1213.274</v>
          </cell>
        </row>
        <row r="74">
          <cell r="J74">
            <v>957.918</v>
          </cell>
        </row>
        <row r="75">
          <cell r="J75">
            <v>255.356</v>
          </cell>
        </row>
        <row r="76">
          <cell r="J76">
            <v>3121.96611103116</v>
          </cell>
        </row>
        <row r="77">
          <cell r="J77">
            <v>1798.25347068698</v>
          </cell>
        </row>
        <row r="78">
          <cell r="J78">
            <v>1323.71264034418</v>
          </cell>
        </row>
        <row r="80">
          <cell r="J80">
            <v>1579.06864034418</v>
          </cell>
        </row>
        <row r="81">
          <cell r="J81">
            <v>3547.82404895396</v>
          </cell>
        </row>
        <row r="91">
          <cell r="J91">
            <v>338.041575092941</v>
          </cell>
        </row>
        <row r="92">
          <cell r="J92">
            <v>664.772154883351</v>
          </cell>
        </row>
        <row r="93">
          <cell r="J93">
            <v>183.258</v>
          </cell>
        </row>
        <row r="94">
          <cell r="J94">
            <v>70.492</v>
          </cell>
        </row>
        <row r="95">
          <cell r="J95">
            <v>112.766</v>
          </cell>
        </row>
        <row r="96">
          <cell r="J96">
            <v>3476.816</v>
          </cell>
        </row>
        <row r="97">
          <cell r="J97">
            <v>2280.149</v>
          </cell>
        </row>
        <row r="98">
          <cell r="J98">
            <v>1196.667</v>
          </cell>
        </row>
        <row r="100">
          <cell r="J100">
            <v>1309.433</v>
          </cell>
        </row>
        <row r="101">
          <cell r="J101">
            <v>3256.086367</v>
          </cell>
        </row>
      </sheetData>
      <sheetData sheetId="6">
        <row r="41">
          <cell r="J41">
            <v>327518.697477988</v>
          </cell>
        </row>
        <row r="42">
          <cell r="J42">
            <v>213862.97932326</v>
          </cell>
        </row>
        <row r="43">
          <cell r="J43">
            <v>101611.078036403</v>
          </cell>
        </row>
        <row r="44">
          <cell r="J44">
            <v>246445.100034585</v>
          </cell>
        </row>
        <row r="45">
          <cell r="J45">
            <v>118121.192881978</v>
          </cell>
        </row>
        <row r="46">
          <cell r="J46">
            <v>35913.3876183667</v>
          </cell>
        </row>
        <row r="47">
          <cell r="J47">
            <v>38480.904380379</v>
          </cell>
        </row>
        <row r="48">
          <cell r="J48">
            <v>129250.486948322</v>
          </cell>
        </row>
        <row r="61">
          <cell r="J61">
            <v>288897.32974902</v>
          </cell>
        </row>
        <row r="62">
          <cell r="J62">
            <v>162107.565777303</v>
          </cell>
        </row>
        <row r="63">
          <cell r="J63">
            <v>76211.5380360631</v>
          </cell>
        </row>
        <row r="64">
          <cell r="J64">
            <v>192032.395634545</v>
          </cell>
        </row>
        <row r="65">
          <cell r="J65">
            <v>98789.0604133624</v>
          </cell>
        </row>
        <row r="66">
          <cell r="J66">
            <v>27210.893550927</v>
          </cell>
        </row>
        <row r="67">
          <cell r="J67">
            <v>35693.5338788029</v>
          </cell>
        </row>
        <row r="68">
          <cell r="J68">
            <v>121871.412936269</v>
          </cell>
        </row>
      </sheetData>
      <sheetData sheetId="7"/>
      <sheetData sheetId="8">
        <row r="13">
          <cell r="J13">
            <v>42.69</v>
          </cell>
        </row>
        <row r="14">
          <cell r="J14">
            <v>22.57</v>
          </cell>
        </row>
        <row r="15">
          <cell r="J15">
            <v>15.24</v>
          </cell>
        </row>
        <row r="16">
          <cell r="J16">
            <v>8.02</v>
          </cell>
        </row>
        <row r="17">
          <cell r="J17">
            <v>5.67</v>
          </cell>
        </row>
        <row r="18">
          <cell r="J18">
            <v>3.36</v>
          </cell>
        </row>
        <row r="19">
          <cell r="J19">
            <v>1.72</v>
          </cell>
        </row>
        <row r="20">
          <cell r="J20">
            <v>0.73</v>
          </cell>
        </row>
        <row r="63">
          <cell r="J63">
            <v>52</v>
          </cell>
        </row>
        <row r="64">
          <cell r="J64">
            <v>35.04</v>
          </cell>
        </row>
        <row r="65">
          <cell r="J65">
            <v>3.77</v>
          </cell>
        </row>
        <row r="66">
          <cell r="J66">
            <v>3.44</v>
          </cell>
        </row>
        <row r="67">
          <cell r="J67">
            <v>2.65</v>
          </cell>
        </row>
        <row r="68">
          <cell r="J68">
            <v>2.36</v>
          </cell>
        </row>
        <row r="69">
          <cell r="J69">
            <v>0.62</v>
          </cell>
        </row>
        <row r="70">
          <cell r="J70">
            <v>0.12</v>
          </cell>
        </row>
      </sheetData>
      <sheetData sheetId="9"/>
      <sheetData sheetId="10"/>
      <sheetData sheetId="11"/>
      <sheetData sheetId="12"/>
      <sheetData sheetId="13">
        <row r="21">
          <cell r="J21" t="str">
            <v>Arked Niaga Padang Besar</v>
          </cell>
        </row>
        <row r="22">
          <cell r="J22" t="str">
            <v>Medan Ikan Bakar Kuala Perlis</v>
          </cell>
        </row>
        <row r="23">
          <cell r="J23" t="str">
            <v>Padang Waremart</v>
          </cell>
        </row>
        <row r="24">
          <cell r="J24" t="str">
            <v>Hutan Lipur Bukit Ayer</v>
          </cell>
        </row>
        <row r="25">
          <cell r="J25" t="str">
            <v>Menara Pandang Wang Kelian</v>
          </cell>
        </row>
        <row r="31">
          <cell r="J31" t="str">
            <v>Arked Niaga Padang Besar</v>
          </cell>
        </row>
        <row r="32">
          <cell r="J32" t="str">
            <v>Wang Kelian View Point</v>
          </cell>
        </row>
        <row r="33">
          <cell r="J33" t="str">
            <v>Taman Eko-Rimba Bukit Ayer</v>
          </cell>
        </row>
        <row r="34">
          <cell r="J34" t="str">
            <v>Padang Waremart</v>
          </cell>
        </row>
        <row r="35">
          <cell r="J35" t="str">
            <v>Medan Ikan Bakar Kuala Perlis</v>
          </cell>
        </row>
        <row r="41">
          <cell r="J41" t="str">
            <v>Arked Niaga Padang Besar</v>
          </cell>
        </row>
        <row r="42">
          <cell r="J42" t="str">
            <v>Tasik Timah Tasoh</v>
          </cell>
        </row>
        <row r="43">
          <cell r="J43" t="str">
            <v>Ladang Nipah Kipli</v>
          </cell>
        </row>
        <row r="44">
          <cell r="J44" t="str">
            <v>Padang Waremart</v>
          </cell>
        </row>
        <row r="45">
          <cell r="J45" t="str">
            <v>Menara Pandang Wang Kelian</v>
          </cell>
        </row>
        <row r="51">
          <cell r="J51" t="str">
            <v>Arked Niaga Padang Besar</v>
          </cell>
        </row>
        <row r="52">
          <cell r="J52" t="str">
            <v>Padang Waremart</v>
          </cell>
        </row>
        <row r="53">
          <cell r="J53" t="str">
            <v>Nat Pokok Getah</v>
          </cell>
        </row>
        <row r="54">
          <cell r="J54" t="str">
            <v>Kampung Wai Kuala Perlis</v>
          </cell>
        </row>
        <row r="55">
          <cell r="J55" t="str">
            <v>Wang Kelian View Point</v>
          </cell>
        </row>
      </sheetData>
      <sheetData sheetId="14"/>
      <sheetData sheetId="15"/>
      <sheetData sheetId="16"/>
      <sheetData sheetId="17"/>
      <sheetData sheetId="18">
        <row r="7">
          <cell r="J7">
            <v>0.4</v>
          </cell>
        </row>
        <row r="8">
          <cell r="J8">
            <v>1</v>
          </cell>
        </row>
        <row r="9">
          <cell r="J9">
            <v>98.6</v>
          </cell>
        </row>
        <row r="10">
          <cell r="J10">
            <v>94.8</v>
          </cell>
        </row>
        <row r="11">
          <cell r="J11">
            <v>1.6</v>
          </cell>
        </row>
        <row r="12">
          <cell r="J12">
            <v>3.2</v>
          </cell>
        </row>
        <row r="13">
          <cell r="J13">
            <v>0.4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100</v>
          </cell>
        </row>
        <row r="20">
          <cell r="J20">
            <v>96.3</v>
          </cell>
        </row>
        <row r="21">
          <cell r="J21">
            <v>2.2</v>
          </cell>
        </row>
        <row r="22">
          <cell r="J22">
            <v>0.8</v>
          </cell>
        </row>
        <row r="23">
          <cell r="J23">
            <v>0.7</v>
          </cell>
        </row>
        <row r="27">
          <cell r="J27">
            <v>1.1</v>
          </cell>
        </row>
        <row r="28">
          <cell r="J28">
            <v>2.3</v>
          </cell>
        </row>
        <row r="29">
          <cell r="J29">
            <v>96.6</v>
          </cell>
        </row>
        <row r="30">
          <cell r="J30">
            <v>92.5</v>
          </cell>
        </row>
        <row r="31">
          <cell r="J31">
            <v>0.7</v>
          </cell>
        </row>
        <row r="32">
          <cell r="J32">
            <v>6.8</v>
          </cell>
        </row>
        <row r="33">
          <cell r="J33">
            <v>0.01</v>
          </cell>
        </row>
        <row r="47">
          <cell r="J47">
            <v>0.2</v>
          </cell>
        </row>
        <row r="48">
          <cell r="J48">
            <v>0.8</v>
          </cell>
        </row>
        <row r="49">
          <cell r="J49">
            <v>99</v>
          </cell>
        </row>
        <row r="50">
          <cell r="J50">
            <v>92.7</v>
          </cell>
        </row>
        <row r="51">
          <cell r="J51">
            <v>3.8</v>
          </cell>
        </row>
        <row r="52">
          <cell r="J52">
            <v>2.9</v>
          </cell>
        </row>
        <row r="53">
          <cell r="J53">
            <v>0.6</v>
          </cell>
        </row>
        <row r="57">
          <cell r="J57">
            <v>0</v>
          </cell>
        </row>
        <row r="58">
          <cell r="J58">
            <v>0</v>
          </cell>
        </row>
        <row r="59">
          <cell r="J59">
            <v>100</v>
          </cell>
        </row>
        <row r="60">
          <cell r="J60">
            <v>95.8</v>
          </cell>
        </row>
        <row r="61">
          <cell r="J61">
            <v>2.3</v>
          </cell>
        </row>
        <row r="62">
          <cell r="J62">
            <v>1.1</v>
          </cell>
        </row>
        <row r="63">
          <cell r="J63">
            <v>0.8</v>
          </cell>
        </row>
        <row r="67">
          <cell r="J67">
            <v>0.5</v>
          </cell>
        </row>
        <row r="68">
          <cell r="J68">
            <v>2.2</v>
          </cell>
        </row>
        <row r="69">
          <cell r="J69">
            <v>97.3</v>
          </cell>
        </row>
        <row r="70">
          <cell r="J70">
            <v>87.5</v>
          </cell>
        </row>
        <row r="71">
          <cell r="J71">
            <v>4.3</v>
          </cell>
        </row>
        <row r="72">
          <cell r="J72">
            <v>7.9</v>
          </cell>
        </row>
        <row r="73">
          <cell r="J73">
            <v>0.3</v>
          </cell>
        </row>
      </sheetData>
      <sheetData sheetId="19"/>
      <sheetData sheetId="20">
        <row r="7">
          <cell r="J7">
            <v>66</v>
          </cell>
        </row>
        <row r="8">
          <cell r="J8">
            <v>14.2</v>
          </cell>
        </row>
        <row r="9">
          <cell r="J9">
            <v>0.2</v>
          </cell>
        </row>
        <row r="10">
          <cell r="J10">
            <v>3.2</v>
          </cell>
        </row>
        <row r="11">
          <cell r="J11">
            <v>14.9</v>
          </cell>
        </row>
        <row r="12">
          <cell r="J12">
            <v>1.5</v>
          </cell>
        </row>
        <row r="27">
          <cell r="J27">
            <v>58.4</v>
          </cell>
        </row>
        <row r="28">
          <cell r="J28">
            <v>16.9</v>
          </cell>
        </row>
        <row r="29">
          <cell r="J29">
            <v>0</v>
          </cell>
        </row>
        <row r="30">
          <cell r="J30">
            <v>2.7</v>
          </cell>
        </row>
        <row r="31">
          <cell r="J31">
            <v>19.7</v>
          </cell>
        </row>
        <row r="32">
          <cell r="J32">
            <v>2.3</v>
          </cell>
        </row>
      </sheetData>
      <sheetData sheetId="21"/>
      <sheetData sheetId="22">
        <row r="7">
          <cell r="J7">
            <v>23.6</v>
          </cell>
        </row>
        <row r="8">
          <cell r="J8">
            <v>26.9</v>
          </cell>
        </row>
        <row r="9">
          <cell r="J9">
            <v>24.5</v>
          </cell>
        </row>
        <row r="10">
          <cell r="J10">
            <v>25</v>
          </cell>
        </row>
        <row r="14">
          <cell r="J14">
            <v>24.9</v>
          </cell>
        </row>
        <row r="15">
          <cell r="J15">
            <v>25.3</v>
          </cell>
        </row>
        <row r="16">
          <cell r="J16">
            <v>26.5</v>
          </cell>
        </row>
        <row r="17">
          <cell r="J17">
            <v>23.3</v>
          </cell>
        </row>
        <row r="21">
          <cell r="J21">
            <v>22.4</v>
          </cell>
        </row>
        <row r="22">
          <cell r="J22">
            <v>28.5</v>
          </cell>
        </row>
        <row r="23">
          <cell r="J23">
            <v>25.4</v>
          </cell>
        </row>
        <row r="24">
          <cell r="J24">
            <v>23.7</v>
          </cell>
        </row>
        <row r="37">
          <cell r="J37">
            <v>22.3</v>
          </cell>
        </row>
        <row r="38">
          <cell r="J38">
            <v>32.6</v>
          </cell>
        </row>
        <row r="39">
          <cell r="J39">
            <v>24.3</v>
          </cell>
        </row>
        <row r="40">
          <cell r="J40">
            <v>20.8</v>
          </cell>
        </row>
        <row r="44">
          <cell r="J44">
            <v>23.4</v>
          </cell>
        </row>
        <row r="45">
          <cell r="J45">
            <v>33.1</v>
          </cell>
        </row>
        <row r="46">
          <cell r="J46">
            <v>22.7</v>
          </cell>
        </row>
        <row r="47">
          <cell r="J47">
            <v>20.8</v>
          </cell>
        </row>
        <row r="51">
          <cell r="J51">
            <v>21.1</v>
          </cell>
        </row>
        <row r="52">
          <cell r="J52">
            <v>32.2</v>
          </cell>
        </row>
        <row r="53">
          <cell r="J53">
            <v>25.9</v>
          </cell>
        </row>
        <row r="54">
          <cell r="J54">
            <v>20.8</v>
          </cell>
        </row>
      </sheetData>
      <sheetData sheetId="23"/>
      <sheetData sheetId="24">
        <row r="6">
          <cell r="J6">
            <v>78.8</v>
          </cell>
        </row>
        <row r="7">
          <cell r="J7">
            <v>15</v>
          </cell>
        </row>
        <row r="8">
          <cell r="J8">
            <v>4.8</v>
          </cell>
        </row>
        <row r="9">
          <cell r="J9">
            <v>1.4</v>
          </cell>
        </row>
        <row r="16">
          <cell r="J16">
            <v>87.7</v>
          </cell>
        </row>
        <row r="17">
          <cell r="J17">
            <v>10.5</v>
          </cell>
        </row>
        <row r="18">
          <cell r="J18">
            <v>1.3</v>
          </cell>
        </row>
        <row r="19">
          <cell r="J19">
            <v>0.5</v>
          </cell>
        </row>
      </sheetData>
      <sheetData sheetId="25">
        <row r="7">
          <cell r="J7">
            <v>30.2</v>
          </cell>
        </row>
        <row r="8">
          <cell r="J8">
            <v>55.3</v>
          </cell>
        </row>
        <row r="9">
          <cell r="J9">
            <v>10.8</v>
          </cell>
        </row>
        <row r="10">
          <cell r="J10">
            <v>3.7</v>
          </cell>
        </row>
        <row r="17">
          <cell r="J17">
            <v>31.8</v>
          </cell>
        </row>
        <row r="18">
          <cell r="J18">
            <v>57.7</v>
          </cell>
        </row>
        <row r="19">
          <cell r="J19">
            <v>8.1</v>
          </cell>
        </row>
        <row r="20">
          <cell r="J20">
            <v>2.4</v>
          </cell>
        </row>
      </sheetData>
      <sheetData sheetId="26"/>
      <sheetData sheetId="27">
        <row r="5">
          <cell r="J5">
            <v>3.9</v>
          </cell>
        </row>
        <row r="6">
          <cell r="J6">
            <v>32.7</v>
          </cell>
        </row>
        <row r="7">
          <cell r="J7">
            <v>25.4</v>
          </cell>
        </row>
        <row r="8">
          <cell r="J8">
            <v>28.9</v>
          </cell>
        </row>
        <row r="9">
          <cell r="J9">
            <v>9.1</v>
          </cell>
        </row>
        <row r="15">
          <cell r="J15">
            <v>3.4</v>
          </cell>
        </row>
        <row r="16">
          <cell r="J16">
            <v>32.4</v>
          </cell>
        </row>
        <row r="17">
          <cell r="J17">
            <v>25.4</v>
          </cell>
        </row>
        <row r="18">
          <cell r="J18">
            <v>29.4</v>
          </cell>
        </row>
        <row r="19">
          <cell r="J19">
            <v>9.4</v>
          </cell>
        </row>
      </sheetData>
      <sheetData sheetId="28">
        <row r="6">
          <cell r="J6">
            <v>54.5</v>
          </cell>
        </row>
        <row r="7">
          <cell r="J7">
            <v>12.5</v>
          </cell>
        </row>
        <row r="8">
          <cell r="J8">
            <v>1.6</v>
          </cell>
        </row>
        <row r="9">
          <cell r="J9">
            <v>21</v>
          </cell>
        </row>
        <row r="10">
          <cell r="J10">
            <v>8.7</v>
          </cell>
        </row>
        <row r="11">
          <cell r="J11">
            <v>10.7</v>
          </cell>
        </row>
        <row r="12">
          <cell r="J12">
            <v>45.5</v>
          </cell>
        </row>
        <row r="13">
          <cell r="J13">
            <v>8.9</v>
          </cell>
        </row>
        <row r="14">
          <cell r="J14">
            <v>4.9</v>
          </cell>
        </row>
        <row r="15">
          <cell r="J15">
            <v>13.9</v>
          </cell>
        </row>
        <row r="16">
          <cell r="J16">
            <v>17.8</v>
          </cell>
        </row>
        <row r="26">
          <cell r="J26">
            <v>55</v>
          </cell>
        </row>
        <row r="27">
          <cell r="J27">
            <v>15.8</v>
          </cell>
        </row>
        <row r="28">
          <cell r="J28">
            <v>3.9</v>
          </cell>
        </row>
        <row r="29">
          <cell r="J29">
            <v>20.5</v>
          </cell>
        </row>
        <row r="30">
          <cell r="J30">
            <v>8.1</v>
          </cell>
        </row>
        <row r="31">
          <cell r="J31">
            <v>6.7</v>
          </cell>
        </row>
        <row r="32">
          <cell r="J32">
            <v>45</v>
          </cell>
        </row>
        <row r="33">
          <cell r="J33">
            <v>7.5</v>
          </cell>
        </row>
        <row r="34">
          <cell r="J34">
            <v>7.5</v>
          </cell>
        </row>
        <row r="35">
          <cell r="J35">
            <v>11</v>
          </cell>
        </row>
        <row r="36">
          <cell r="J36">
            <v>19</v>
          </cell>
        </row>
      </sheetData>
      <sheetData sheetId="29"/>
      <sheetData sheetId="30">
        <row r="56">
          <cell r="J56">
            <v>0</v>
          </cell>
        </row>
        <row r="57">
          <cell r="J57">
            <v>1</v>
          </cell>
        </row>
        <row r="58">
          <cell r="J58">
            <v>3</v>
          </cell>
        </row>
        <row r="59">
          <cell r="J59">
            <v>4</v>
          </cell>
        </row>
        <row r="60">
          <cell r="J60">
            <v>5</v>
          </cell>
        </row>
        <row r="61">
          <cell r="J61">
            <v>2</v>
          </cell>
        </row>
        <row r="62">
          <cell r="J62">
            <v>5</v>
          </cell>
        </row>
        <row r="63">
          <cell r="J63">
            <v>2</v>
          </cell>
        </row>
        <row r="64">
          <cell r="J64">
            <v>11</v>
          </cell>
        </row>
        <row r="67">
          <cell r="J67">
            <v>0</v>
          </cell>
        </row>
        <row r="68">
          <cell r="J68">
            <v>145</v>
          </cell>
        </row>
        <row r="69">
          <cell r="J69">
            <v>241</v>
          </cell>
        </row>
        <row r="70">
          <cell r="J70">
            <v>163</v>
          </cell>
        </row>
        <row r="71">
          <cell r="J71">
            <v>203</v>
          </cell>
        </row>
        <row r="72">
          <cell r="J72">
            <v>29</v>
          </cell>
        </row>
        <row r="73">
          <cell r="J73">
            <v>130</v>
          </cell>
        </row>
        <row r="74">
          <cell r="J74">
            <v>40</v>
          </cell>
        </row>
        <row r="75">
          <cell r="J75">
            <v>370</v>
          </cell>
        </row>
        <row r="99">
          <cell r="J99">
            <v>26</v>
          </cell>
        </row>
        <row r="100">
          <cell r="J100">
            <v>2</v>
          </cell>
        </row>
        <row r="101">
          <cell r="J101">
            <v>0</v>
          </cell>
        </row>
        <row r="102">
          <cell r="J102">
            <v>5</v>
          </cell>
        </row>
        <row r="105">
          <cell r="J105">
            <v>1015</v>
          </cell>
        </row>
        <row r="106">
          <cell r="J106">
            <v>150</v>
          </cell>
        </row>
        <row r="107">
          <cell r="J107">
            <v>0</v>
          </cell>
        </row>
        <row r="108">
          <cell r="J108">
            <v>156</v>
          </cell>
        </row>
      </sheetData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B1" sqref="B1"/>
    </sheetView>
  </sheetViews>
  <sheetFormatPr defaultColWidth="9.11111111111111" defaultRowHeight="13.2" outlineLevelCol="3"/>
  <cols>
    <col min="1" max="1" width="29.9166666666667" style="260" customWidth="1"/>
    <col min="2" max="2" width="117.111111111111" style="260" customWidth="1"/>
    <col min="3" max="3" width="1.66666666666667" style="260" customWidth="1"/>
    <col min="4" max="5" width="9.11111111111111" style="260" customWidth="1"/>
    <col min="6" max="16383" width="9.11111111111111" style="260"/>
  </cols>
  <sheetData>
    <row r="1" spans="1:4">
      <c r="A1" s="261" t="s">
        <v>0</v>
      </c>
      <c r="B1" s="261" t="s">
        <v>1</v>
      </c>
      <c r="D1" s="260" t="s">
        <v>2</v>
      </c>
    </row>
    <row r="2" spans="1:4">
      <c r="A2" s="262" t="s">
        <v>3</v>
      </c>
      <c r="B2" s="262" t="s">
        <v>4</v>
      </c>
    </row>
    <row r="3" spans="1:4">
      <c r="A3" s="261" t="s">
        <v>5</v>
      </c>
      <c r="B3" s="261" t="s">
        <v>6</v>
      </c>
    </row>
    <row r="4" spans="1:4">
      <c r="A4" s="262" t="s">
        <v>7</v>
      </c>
      <c r="B4" s="262" t="s">
        <v>8</v>
      </c>
    </row>
    <row r="5" spans="1:4">
      <c r="A5" s="261" t="s">
        <v>9</v>
      </c>
      <c r="B5" s="261" t="s">
        <v>10</v>
      </c>
    </row>
    <row r="6" spans="1:4">
      <c r="A6" s="262" t="s">
        <v>11</v>
      </c>
      <c r="B6" s="262" t="s">
        <v>12</v>
      </c>
    </row>
    <row r="7" spans="1:4">
      <c r="A7" s="261" t="s">
        <v>13</v>
      </c>
      <c r="B7" s="261" t="s">
        <v>13</v>
      </c>
    </row>
    <row r="8" spans="1:4">
      <c r="A8" s="262" t="s">
        <v>14</v>
      </c>
      <c r="B8" s="262" t="s">
        <v>15</v>
      </c>
    </row>
    <row r="9" spans="1:4">
      <c r="A9" s="261" t="s">
        <v>16</v>
      </c>
      <c r="B9" s="261" t="s">
        <v>17</v>
      </c>
    </row>
    <row r="10" spans="1:4">
      <c r="A10" s="262" t="s">
        <v>18</v>
      </c>
      <c r="B10" s="262" t="s">
        <v>19</v>
      </c>
    </row>
    <row r="11" spans="1:4">
      <c r="A11" s="261" t="s">
        <v>20</v>
      </c>
      <c r="B11" s="261" t="s">
        <v>20</v>
      </c>
    </row>
    <row r="12" spans="1:4">
      <c r="A12" s="262" t="s">
        <v>21</v>
      </c>
      <c r="B12" s="262" t="s">
        <v>21</v>
      </c>
    </row>
    <row r="13" spans="1:4">
      <c r="A13" s="261" t="s">
        <v>22</v>
      </c>
      <c r="B13" s="261" t="s">
        <v>23</v>
      </c>
    </row>
    <row r="14" spans="1:4">
      <c r="A14" s="262" t="s">
        <v>24</v>
      </c>
      <c r="B14" s="262" t="s">
        <v>25</v>
      </c>
    </row>
    <row r="15" spans="1:4">
      <c r="A15" s="261" t="s">
        <v>26</v>
      </c>
      <c r="B15" s="261" t="s">
        <v>26</v>
      </c>
    </row>
    <row r="16" spans="1:4">
      <c r="A16" s="262" t="s">
        <v>27</v>
      </c>
      <c r="B16" s="262" t="s">
        <v>27</v>
      </c>
    </row>
    <row r="17" spans="1:2">
      <c r="A17" s="261" t="s">
        <v>28</v>
      </c>
      <c r="B17" s="261" t="s">
        <v>28</v>
      </c>
    </row>
    <row r="18" spans="1:2">
      <c r="A18" s="262" t="s">
        <v>29</v>
      </c>
      <c r="B18" s="262" t="s">
        <v>29</v>
      </c>
    </row>
    <row r="19" spans="1:2">
      <c r="A19" s="261" t="s">
        <v>30</v>
      </c>
      <c r="B19" s="261" t="s">
        <v>31</v>
      </c>
    </row>
    <row r="20" spans="1:2">
      <c r="A20" s="262" t="s">
        <v>32</v>
      </c>
      <c r="B20" s="262" t="s">
        <v>33</v>
      </c>
    </row>
    <row r="21" spans="1:2">
      <c r="A21" s="261" t="s">
        <v>34</v>
      </c>
      <c r="B21" s="261" t="s">
        <v>35</v>
      </c>
    </row>
    <row r="22" spans="1:2">
      <c r="A22" s="262" t="s">
        <v>36</v>
      </c>
      <c r="B22" s="262" t="s">
        <v>37</v>
      </c>
    </row>
    <row r="23" spans="1:2">
      <c r="A23" s="261" t="s">
        <v>38</v>
      </c>
      <c r="B23" s="261" t="s">
        <v>39</v>
      </c>
    </row>
    <row r="24" spans="1:2">
      <c r="A24" s="262" t="s">
        <v>40</v>
      </c>
      <c r="B24" s="262" t="s">
        <v>41</v>
      </c>
    </row>
    <row r="25" spans="1:2">
      <c r="A25" s="261" t="s">
        <v>42</v>
      </c>
      <c r="B25" s="261" t="s">
        <v>42</v>
      </c>
    </row>
    <row r="26" spans="1:2">
      <c r="A26" s="262" t="s">
        <v>43</v>
      </c>
      <c r="B26" s="262" t="s">
        <v>43</v>
      </c>
    </row>
    <row r="27" spans="1:2">
      <c r="A27" s="261" t="s">
        <v>44</v>
      </c>
      <c r="B27" s="261" t="s">
        <v>44</v>
      </c>
    </row>
    <row r="28" spans="1:2">
      <c r="A28" s="262" t="s">
        <v>45</v>
      </c>
      <c r="B28" s="262" t="s">
        <v>45</v>
      </c>
    </row>
    <row r="29" spans="1:2">
      <c r="A29" s="261" t="s">
        <v>46</v>
      </c>
      <c r="B29" s="261" t="s">
        <v>47</v>
      </c>
    </row>
    <row r="30" spans="1:2">
      <c r="A30" s="262" t="s">
        <v>48</v>
      </c>
      <c r="B30" s="262" t="s">
        <v>49</v>
      </c>
    </row>
    <row r="31" spans="1:2">
      <c r="A31" s="261" t="s">
        <v>50</v>
      </c>
      <c r="B31" s="261" t="s">
        <v>51</v>
      </c>
    </row>
    <row r="32" spans="1:2">
      <c r="A32" s="262" t="s">
        <v>52</v>
      </c>
      <c r="B32" s="262" t="s">
        <v>53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G1" sqref="G1"/>
    </sheetView>
  </sheetViews>
  <sheetFormatPr defaultColWidth="9.11111111111111" defaultRowHeight="14.4" outlineLevelCol="6"/>
  <cols>
    <col min="4" max="4" width="17.8888888888889" customWidth="1"/>
  </cols>
  <sheetData>
    <row r="1" spans="1:7">
      <c r="A1" s="259">
        <v>2024</v>
      </c>
      <c r="D1" t="s">
        <v>54</v>
      </c>
      <c r="E1">
        <v>1</v>
      </c>
      <c r="G1">
        <f>VLOOKUP(Tajuk!$D$1,$D$1:$E$16,2,0)</f>
        <v>9</v>
      </c>
    </row>
    <row r="2" spans="1:7">
      <c r="A2" s="30">
        <f>A1+1</f>
        <v>2025</v>
      </c>
      <c r="D2" t="s">
        <v>55</v>
      </c>
      <c r="E2">
        <v>2</v>
      </c>
    </row>
    <row r="3" spans="1:7">
      <c r="A3" s="30"/>
      <c r="D3" t="s">
        <v>56</v>
      </c>
      <c r="E3">
        <v>3</v>
      </c>
    </row>
    <row r="4" spans="1:7">
      <c r="A4" s="30"/>
      <c r="D4" t="s">
        <v>57</v>
      </c>
      <c r="E4">
        <v>4</v>
      </c>
    </row>
    <row r="5" spans="1:7">
      <c r="A5" s="30"/>
      <c r="D5" t="s">
        <v>58</v>
      </c>
      <c r="E5">
        <v>5</v>
      </c>
    </row>
    <row r="6" spans="1:7">
      <c r="A6" s="30"/>
      <c r="D6" t="s">
        <v>59</v>
      </c>
      <c r="E6">
        <v>6</v>
      </c>
    </row>
    <row r="7" spans="1:7">
      <c r="A7" s="30"/>
      <c r="D7" t="s">
        <v>60</v>
      </c>
      <c r="E7">
        <v>7</v>
      </c>
    </row>
    <row r="8" spans="1:7">
      <c r="A8" s="30"/>
      <c r="D8" t="s">
        <v>61</v>
      </c>
      <c r="E8">
        <v>8</v>
      </c>
    </row>
    <row r="9" spans="1:7">
      <c r="A9" s="30"/>
      <c r="D9" t="s">
        <v>2</v>
      </c>
      <c r="E9">
        <v>9</v>
      </c>
    </row>
    <row r="10" spans="1:7">
      <c r="A10" s="30"/>
      <c r="D10" t="s">
        <v>62</v>
      </c>
      <c r="E10">
        <v>10</v>
      </c>
    </row>
    <row r="11" spans="1:7">
      <c r="A11" s="30"/>
      <c r="D11" t="s">
        <v>63</v>
      </c>
      <c r="E11">
        <v>11</v>
      </c>
    </row>
    <row r="12" spans="1:7">
      <c r="A12" s="30"/>
      <c r="D12" t="s">
        <v>64</v>
      </c>
      <c r="E12">
        <v>12</v>
      </c>
    </row>
    <row r="13" spans="1:7">
      <c r="A13" s="30"/>
      <c r="D13" t="s">
        <v>65</v>
      </c>
      <c r="E13">
        <v>13</v>
      </c>
    </row>
    <row r="14" spans="1:7">
      <c r="A14" s="30"/>
      <c r="D14" t="s">
        <v>66</v>
      </c>
      <c r="E14">
        <v>14</v>
      </c>
    </row>
    <row r="15" spans="1:7">
      <c r="A15" s="30"/>
      <c r="D15" t="s">
        <v>67</v>
      </c>
      <c r="E15">
        <v>15</v>
      </c>
    </row>
    <row r="16" spans="1:7">
      <c r="A16" s="30"/>
      <c r="D16" t="s">
        <v>68</v>
      </c>
      <c r="E16">
        <v>16</v>
      </c>
    </row>
    <row r="17" spans="1:1">
      <c r="A17" s="30"/>
    </row>
    <row r="18" spans="1:1">
      <c r="A18" s="30"/>
    </row>
    <row r="19" spans="1:1">
      <c r="A19" s="30"/>
    </row>
    <row r="20" spans="1:1">
      <c r="A20" s="30"/>
    </row>
    <row r="21" spans="1:1">
      <c r="A21" s="30"/>
    </row>
    <row r="22" spans="1:1">
      <c r="A22" s="30"/>
    </row>
    <row r="23" spans="1:1">
      <c r="A23" s="30"/>
    </row>
    <row r="24" spans="1:1">
      <c r="A24" s="30"/>
    </row>
    <row r="25" spans="1:1">
      <c r="A25" s="30"/>
    </row>
    <row r="26" spans="1:1">
      <c r="A26" s="30"/>
    </row>
    <row r="27" spans="1:1">
      <c r="A27" s="30"/>
    </row>
    <row r="28" spans="1:1">
      <c r="A28" s="30"/>
    </row>
    <row r="29" spans="1:1">
      <c r="A29" s="30"/>
    </row>
    <row r="30" spans="1:1">
      <c r="A30" s="30"/>
    </row>
    <row r="31" spans="1:1">
      <c r="A31" s="30"/>
    </row>
    <row r="32" spans="1:1">
      <c r="A32" s="3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zoomScaleSheetLayoutView="145" workbookViewId="0">
      <selection activeCell="A1" sqref="A1:H1"/>
    </sheetView>
  </sheetViews>
  <sheetFormatPr defaultColWidth="9" defaultRowHeight="14.4"/>
  <cols>
    <col min="1" max="1" width="35.6666666666667" style="2" customWidth="1"/>
    <col min="2" max="8" width="7.66666666666667" style="2" customWidth="1"/>
    <col min="9" max="9" width="1.66666666666667" style="2" customWidth="1"/>
    <col min="10" max="10" width="12.8888888888889" style="2"/>
    <col min="11" max="16384" width="9" style="2"/>
  </cols>
  <sheetData>
    <row r="1" ht="15" customHeight="1" spans="1:10">
      <c r="A1" s="3" t="str">
        <f>Tajuk!B1</f>
        <v>Jadual 1: Statistik penting pelancongan domestik di Perlis, 2019 - 2025</v>
      </c>
      <c r="B1" s="153"/>
      <c r="C1" s="153"/>
      <c r="D1" s="153"/>
      <c r="E1" s="153"/>
      <c r="F1" s="153"/>
      <c r="G1" s="153"/>
      <c r="H1" s="153"/>
    </row>
    <row r="2" ht="15" customHeight="1" spans="1:10">
      <c r="A2" s="4" t="str">
        <f>Tajuk!B2</f>
        <v>Table 1: Key statistics of domestic tourism in Perlis, 2019 - 2025</v>
      </c>
      <c r="B2" s="155"/>
      <c r="C2" s="155"/>
      <c r="D2" s="155"/>
      <c r="E2" s="155"/>
      <c r="F2" s="155"/>
      <c r="G2" s="155"/>
      <c r="H2" s="155"/>
    </row>
    <row r="3" ht="6" customHeight="1" spans="1:10">
      <c r="A3" s="156"/>
      <c r="B3" s="248"/>
      <c r="C3" s="248"/>
      <c r="D3" s="248"/>
      <c r="E3" s="248"/>
      <c r="F3" s="248"/>
      <c r="G3" s="248"/>
      <c r="H3" s="248"/>
    </row>
    <row r="4" ht="30" customHeight="1" spans="1:10">
      <c r="A4" s="161" t="s">
        <v>69</v>
      </c>
      <c r="B4" s="253">
        <v>2019</v>
      </c>
      <c r="C4" s="253">
        <f t="shared" ref="C4:H4" si="0">B4+1</f>
        <v>2020</v>
      </c>
      <c r="D4" s="253">
        <f t="shared" si="0"/>
        <v>2021</v>
      </c>
      <c r="E4" s="253">
        <f t="shared" si="0"/>
        <v>2022</v>
      </c>
      <c r="F4" s="253">
        <f t="shared" si="0"/>
        <v>2023</v>
      </c>
      <c r="G4" s="253">
        <f t="shared" si="0"/>
        <v>2024</v>
      </c>
      <c r="H4" s="253">
        <f t="shared" si="0"/>
        <v>2025</v>
      </c>
      <c r="J4" s="213"/>
    </row>
    <row r="5" ht="30" customHeight="1" spans="1:10">
      <c r="A5" s="254"/>
      <c r="B5" s="255"/>
      <c r="C5" s="255"/>
      <c r="D5" s="255"/>
      <c r="E5" s="255"/>
      <c r="F5" s="255"/>
      <c r="G5" s="255"/>
      <c r="H5" s="256"/>
      <c r="J5" s="213"/>
    </row>
    <row r="6" ht="51" customHeight="1" spans="1:10">
      <c r="A6" s="89" t="s">
        <v>70</v>
      </c>
      <c r="B6" s="257">
        <f>'[13]J1'!$J98</f>
        <v>578.805530778065</v>
      </c>
      <c r="C6" s="257">
        <f>'[13]J1'!$J88</f>
        <v>224.066307262435</v>
      </c>
      <c r="D6" s="257">
        <f>'[13]J1'!$J78</f>
        <v>78.0132972300273</v>
      </c>
      <c r="E6" s="257">
        <f>'[13]J1'!$J68</f>
        <v>455.618787502378</v>
      </c>
      <c r="F6" s="257">
        <f>'[13]J1'!$J58</f>
        <v>583.870113407444</v>
      </c>
      <c r="G6" s="257">
        <f>'[13]J1'!$J48</f>
        <v>1002.81372997629</v>
      </c>
      <c r="H6" s="257">
        <f>'[13]J1'!$J38</f>
        <v>1211.20382670128</v>
      </c>
      <c r="J6" s="257">
        <f>'[13]J1'!$J108</f>
        <v>616.749928734989</v>
      </c>
    </row>
    <row r="7" ht="51" customHeight="1" spans="1:10">
      <c r="A7" s="89" t="s">
        <v>71</v>
      </c>
      <c r="B7" s="258">
        <f t="shared" ref="B7:B11" si="1">(B6/J6-1)*100</f>
        <v>-6.15231493171819</v>
      </c>
      <c r="C7" s="258">
        <f t="shared" ref="C7:H7" si="2">(C6/B6-1)*100</f>
        <v>-61.2881537325271</v>
      </c>
      <c r="D7" s="258">
        <f t="shared" si="2"/>
        <v>-65.182941521567</v>
      </c>
      <c r="E7" s="258">
        <f t="shared" si="2"/>
        <v>484.027087278411</v>
      </c>
      <c r="F7" s="258">
        <f t="shared" si="2"/>
        <v>28.1488229684551</v>
      </c>
      <c r="G7" s="258">
        <f t="shared" si="2"/>
        <v>71.75287909907</v>
      </c>
      <c r="H7" s="258">
        <f t="shared" si="2"/>
        <v>20.7805388474205</v>
      </c>
    </row>
    <row r="8" ht="51" customHeight="1" spans="1:10">
      <c r="A8" s="89" t="s">
        <v>72</v>
      </c>
      <c r="B8" s="257">
        <f>'[13]J1'!$J99</f>
        <v>2087.37244564133</v>
      </c>
      <c r="C8" s="257">
        <f>'[13]J1'!$J89</f>
        <v>1193.108</v>
      </c>
      <c r="D8" s="257">
        <f>'[13]J1'!$J79</f>
        <v>406.796</v>
      </c>
      <c r="E8" s="257">
        <f>'[13]J1'!$J69</f>
        <v>1669.175</v>
      </c>
      <c r="F8" s="257">
        <f>'[13]J1'!$J59</f>
        <v>1950.771</v>
      </c>
      <c r="G8" s="257">
        <f>'[13]J1'!$J49</f>
        <v>3225.428</v>
      </c>
      <c r="H8" s="257">
        <f>'[13]J1'!$J39</f>
        <v>3755.682</v>
      </c>
      <c r="J8" s="257">
        <f>'[13]J1'!$J109</f>
        <v>2155.5079034032</v>
      </c>
    </row>
    <row r="9" ht="51" customHeight="1" spans="1:10">
      <c r="A9" s="89" t="s">
        <v>71</v>
      </c>
      <c r="B9" s="258">
        <f t="shared" si="1"/>
        <v>-3.16099317725975</v>
      </c>
      <c r="C9" s="258">
        <f t="shared" ref="C9:H9" si="3">(C8/B8-1)*100</f>
        <v>-42.8416331502629</v>
      </c>
      <c r="D9" s="258">
        <f t="shared" si="3"/>
        <v>-65.9045115781639</v>
      </c>
      <c r="E9" s="258">
        <f t="shared" si="3"/>
        <v>310.322372884689</v>
      </c>
      <c r="F9" s="258">
        <f t="shared" si="3"/>
        <v>16.87037009301</v>
      </c>
      <c r="G9" s="258">
        <f t="shared" si="3"/>
        <v>65.3411907394564</v>
      </c>
      <c r="H9" s="258">
        <f t="shared" si="3"/>
        <v>16.4398027176548</v>
      </c>
    </row>
    <row r="10" ht="51" customHeight="1" spans="1:10">
      <c r="A10" s="89" t="s">
        <v>73</v>
      </c>
      <c r="B10" s="257">
        <f>'[13]J1'!$J100</f>
        <v>2695.00103783132</v>
      </c>
      <c r="C10" s="257">
        <f>'[13]J1'!$J90</f>
        <v>1246.963</v>
      </c>
      <c r="D10" s="257">
        <f>'[13]J1'!$J80</f>
        <v>426.818</v>
      </c>
      <c r="E10" s="257">
        <f>'[13]J1'!$J70</f>
        <v>1799.569</v>
      </c>
      <c r="F10" s="257">
        <f>'[13]J1'!$J60</f>
        <v>2139.229</v>
      </c>
      <c r="G10" s="257">
        <f>'[13]J1'!$J50</f>
        <v>3660.074</v>
      </c>
      <c r="H10" s="257">
        <f>'[13]J1'!$J40</f>
        <v>4335.24011103116</v>
      </c>
      <c r="J10" s="257">
        <f>'[13]J1'!$J110</f>
        <v>2816.39830281391</v>
      </c>
    </row>
    <row r="11" ht="51" customHeight="1" spans="1:10">
      <c r="A11" s="89" t="s">
        <v>71</v>
      </c>
      <c r="B11" s="258">
        <f t="shared" si="1"/>
        <v>-4.31037275023565</v>
      </c>
      <c r="C11" s="258">
        <f t="shared" ref="C11:H11" si="4">(C10/B10-1)*100</f>
        <v>-53.7305187457947</v>
      </c>
      <c r="D11" s="258">
        <f t="shared" si="4"/>
        <v>-65.7713981890401</v>
      </c>
      <c r="E11" s="258">
        <f t="shared" si="4"/>
        <v>321.62443945663</v>
      </c>
      <c r="F11" s="258">
        <f t="shared" si="4"/>
        <v>18.8745193988116</v>
      </c>
      <c r="G11" s="258">
        <f t="shared" si="4"/>
        <v>71.0931368263987</v>
      </c>
      <c r="H11" s="258">
        <f t="shared" si="4"/>
        <v>18.446788535728</v>
      </c>
    </row>
    <row r="12" ht="51" customHeight="1" spans="1:10">
      <c r="A12" s="89" t="s">
        <v>74</v>
      </c>
      <c r="B12" s="257">
        <f>'[13]J1'!$J101</f>
        <v>277.289053990664</v>
      </c>
      <c r="C12" s="257">
        <f>'[13]J1'!$J91</f>
        <v>187.800523726633</v>
      </c>
      <c r="D12" s="257">
        <f>'[13]J1'!$J81</f>
        <v>191.774986061877</v>
      </c>
      <c r="E12" s="257">
        <f>'[13]J1'!$J71</f>
        <v>272.960466998594</v>
      </c>
      <c r="F12" s="257">
        <f>'[13]J1'!$J61</f>
        <v>299.302231480499</v>
      </c>
      <c r="G12" s="257">
        <f>'[13]J1'!$J51</f>
        <v>310.908732105101</v>
      </c>
      <c r="H12" s="257">
        <f>'[13]J1'!$J41</f>
        <v>322.499036580115</v>
      </c>
      <c r="J12" s="257">
        <f>'[13]J1'!$J111</f>
        <v>286.127426283727</v>
      </c>
    </row>
    <row r="13" ht="51" customHeight="1" spans="1:10">
      <c r="A13" s="89" t="s">
        <v>71</v>
      </c>
      <c r="B13" s="258">
        <f t="shared" ref="B13:B17" si="5">(B12/J12-1)*100</f>
        <v>-3.08896368581556</v>
      </c>
      <c r="C13" s="258">
        <f t="shared" ref="C13:H13" si="6">(C12/B12-1)*100</f>
        <v>-32.2726515800526</v>
      </c>
      <c r="D13" s="258">
        <f t="shared" si="6"/>
        <v>2.1163212201843</v>
      </c>
      <c r="E13" s="258">
        <f t="shared" si="6"/>
        <v>42.3337175529879</v>
      </c>
      <c r="F13" s="258">
        <f t="shared" si="6"/>
        <v>9.65039544793889</v>
      </c>
      <c r="G13" s="258">
        <f t="shared" si="6"/>
        <v>3.87785302073775</v>
      </c>
      <c r="H13" s="258">
        <f t="shared" si="6"/>
        <v>3.72788001049</v>
      </c>
      <c r="J13" s="257"/>
    </row>
    <row r="14" ht="51" customHeight="1" spans="1:10">
      <c r="A14" s="89" t="s">
        <v>75</v>
      </c>
      <c r="B14" s="257">
        <f>'[13]J1'!$J102</f>
        <v>214.770058583663</v>
      </c>
      <c r="C14" s="257">
        <f>'[13]J1'!$J92</f>
        <v>179.689619709996</v>
      </c>
      <c r="D14" s="257">
        <f>'[13]J1'!$J82</f>
        <v>182.778836014478</v>
      </c>
      <c r="E14" s="257">
        <f>'[13]J1'!$J72</f>
        <v>253.182171676873</v>
      </c>
      <c r="F14" s="257">
        <f>'[13]J1'!$J62</f>
        <v>272.934834656525</v>
      </c>
      <c r="G14" s="257">
        <f>'[13]J1'!$J52</f>
        <v>273.987282764308</v>
      </c>
      <c r="H14" s="257">
        <f>'[13]J1'!$J42</f>
        <v>279.38563855306</v>
      </c>
      <c r="J14" s="257">
        <f>'[13]J1'!$J112</f>
        <v>218.985336029632</v>
      </c>
    </row>
    <row r="15" ht="51" customHeight="1" spans="1:10">
      <c r="A15" s="89" t="s">
        <v>71</v>
      </c>
      <c r="B15" s="258">
        <f t="shared" si="5"/>
        <v>-1.92491311171568</v>
      </c>
      <c r="C15" s="258">
        <f t="shared" ref="C15:H15" si="7">(C14/B14-1)*100</f>
        <v>-16.3339522766864</v>
      </c>
      <c r="D15" s="258">
        <f t="shared" si="7"/>
        <v>1.71919574957515</v>
      </c>
      <c r="E15" s="258">
        <f t="shared" si="7"/>
        <v>38.518319296452</v>
      </c>
      <c r="F15" s="258">
        <f t="shared" si="7"/>
        <v>7.80175904520704</v>
      </c>
      <c r="G15" s="258">
        <f t="shared" si="7"/>
        <v>0.385604171452658</v>
      </c>
      <c r="H15" s="258">
        <f t="shared" si="7"/>
        <v>1.97029429040902</v>
      </c>
      <c r="J15" s="257"/>
    </row>
    <row r="16" ht="51" customHeight="1" spans="1:10">
      <c r="A16" s="89" t="s">
        <v>76</v>
      </c>
      <c r="B16" s="258">
        <f>'[13]J1'!$J103</f>
        <v>2.55342085481156</v>
      </c>
      <c r="C16" s="258">
        <f>'[13]J1'!$J93</f>
        <v>2.4461569279846</v>
      </c>
      <c r="D16" s="258">
        <f>'[13]J1'!$J83</f>
        <v>2.20914101234874</v>
      </c>
      <c r="E16" s="258">
        <f>'[13]J1'!$J73</f>
        <v>2.34666728507533</v>
      </c>
      <c r="F16" s="258">
        <f>'[13]J1'!$J63</f>
        <v>2.20641466269676</v>
      </c>
      <c r="G16" s="258">
        <f>'[13]J1'!$J53</f>
        <v>2.48663839005127</v>
      </c>
      <c r="H16" s="258">
        <f>'[13]J1'!$J43</f>
        <v>2.24678266562286</v>
      </c>
      <c r="J16" s="258">
        <f>'[13]J1'!$J113</f>
        <v>2.32017692530192</v>
      </c>
    </row>
    <row r="17" ht="51" customHeight="1" spans="1:10">
      <c r="A17" s="89" t="s">
        <v>71</v>
      </c>
      <c r="B17" s="258">
        <f t="shared" si="5"/>
        <v>10.0528510117515</v>
      </c>
      <c r="C17" s="258">
        <f t="shared" ref="C17:H17" si="8">(C16/B16-1)*100</f>
        <v>-4.20079308997716</v>
      </c>
      <c r="D17" s="258">
        <f t="shared" si="8"/>
        <v>-9.68931767722435</v>
      </c>
      <c r="E17" s="258">
        <f t="shared" si="8"/>
        <v>6.22532794230157</v>
      </c>
      <c r="F17" s="258">
        <f t="shared" si="8"/>
        <v>-5.97667267407566</v>
      </c>
      <c r="G17" s="258">
        <f t="shared" si="8"/>
        <v>12.7004108562264</v>
      </c>
      <c r="H17" s="258">
        <f t="shared" si="8"/>
        <v>-9.64578224916187</v>
      </c>
      <c r="J17" s="257"/>
    </row>
    <row r="18" ht="15" customHeight="1" spans="1:10">
      <c r="A18" s="33"/>
      <c r="B18" s="249"/>
      <c r="C18" s="249"/>
      <c r="D18" s="249"/>
      <c r="E18" s="249"/>
      <c r="F18" s="249"/>
      <c r="G18" s="249"/>
      <c r="H18" s="249"/>
    </row>
    <row r="19" spans="1:10">
      <c r="A19" s="1"/>
    </row>
    <row r="20" spans="1:10">
      <c r="A20" s="1"/>
    </row>
    <row r="21" spans="1:10">
      <c r="A21" s="1"/>
    </row>
    <row r="22" spans="1:10">
      <c r="A22" s="1"/>
    </row>
    <row r="23" spans="1:10">
      <c r="A23" s="1"/>
    </row>
    <row r="24" spans="1:10">
      <c r="A24" s="1"/>
    </row>
    <row r="25" spans="1:10">
      <c r="A25" s="1"/>
    </row>
    <row r="26" spans="1:10">
      <c r="A26" s="1"/>
    </row>
    <row r="27" spans="1:10">
      <c r="A27" s="1"/>
    </row>
    <row r="28" spans="1:10">
      <c r="A28" s="1"/>
    </row>
    <row r="29" spans="1:10">
      <c r="A29" s="1"/>
    </row>
    <row r="30" spans="1:10">
      <c r="A30" s="1"/>
    </row>
    <row r="31" spans="1:10">
      <c r="A31" s="1"/>
    </row>
    <row r="32" spans="1:10">
      <c r="A32" s="1"/>
    </row>
  </sheetData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view="pageBreakPreview" zoomScaleNormal="100" workbookViewId="0">
      <selection activeCell="A1" sqref="A1:F1"/>
    </sheetView>
  </sheetViews>
  <sheetFormatPr defaultColWidth="9" defaultRowHeight="14.4"/>
  <cols>
    <col min="1" max="1" width="15.6666666666667" style="2" customWidth="1"/>
    <col min="2" max="2" width="16.5555555555556" style="2" customWidth="1"/>
    <col min="3" max="3" width="9.66666666666667" style="2" customWidth="1"/>
    <col min="4" max="4" width="16.5555555555556" style="2" customWidth="1"/>
    <col min="5" max="5" width="9.66666666666667" style="2" customWidth="1"/>
    <col min="6" max="6" width="15.6666666666667" style="2" customWidth="1"/>
    <col min="7" max="7" width="1.66666666666667" style="2" customWidth="1"/>
    <col min="8" max="9" width="10.6666666666667" style="1" customWidth="1"/>
    <col min="10" max="16384" width="9" style="2"/>
  </cols>
  <sheetData>
    <row r="1" ht="15" customHeight="1" spans="1:11">
      <c r="A1" s="3" t="str">
        <f>Tajuk!B3</f>
        <v>Jadual 2: Pelawat domestik mengikut jenis pelawat ke Perlis, 2024 dan 2025</v>
      </c>
      <c r="B1" s="3"/>
      <c r="C1" s="3"/>
      <c r="D1" s="3"/>
      <c r="E1" s="3"/>
      <c r="F1" s="3"/>
      <c r="G1" s="3"/>
      <c r="H1" s="9"/>
      <c r="I1" s="9"/>
    </row>
    <row r="2" ht="15" customHeight="1" spans="1:11">
      <c r="A2" s="4" t="str">
        <f>Tajuk!B4</f>
        <v>Table 2: Domestic visitors by type of visitors to Perlis, 2024 and 2025</v>
      </c>
      <c r="B2" s="4"/>
      <c r="C2" s="4"/>
      <c r="D2" s="4"/>
      <c r="E2" s="4"/>
      <c r="F2" s="4"/>
      <c r="G2" s="4"/>
      <c r="H2" s="240"/>
      <c r="I2" s="240"/>
    </row>
    <row r="3" ht="6" customHeight="1" spans="1:11">
      <c r="A3" s="187"/>
      <c r="B3" s="159"/>
      <c r="C3" s="159"/>
      <c r="D3" s="159"/>
      <c r="E3" s="159"/>
      <c r="F3" s="159"/>
      <c r="G3" s="36"/>
      <c r="H3" s="189"/>
      <c r="I3" s="189"/>
    </row>
    <row r="4" ht="15" customHeight="1" spans="1:11">
      <c r="A4" s="37" t="s">
        <v>77</v>
      </c>
      <c r="B4" s="8">
        <f>Master!A1</f>
        <v>2024</v>
      </c>
      <c r="C4" s="8"/>
      <c r="D4" s="8">
        <f>Master!A2</f>
        <v>2025</v>
      </c>
      <c r="E4" s="8"/>
      <c r="F4" s="161" t="s">
        <v>78</v>
      </c>
      <c r="G4" s="42"/>
      <c r="H4" s="189"/>
      <c r="I4" s="189"/>
    </row>
    <row r="5" ht="66" customHeight="1" spans="1:11">
      <c r="A5" s="40"/>
      <c r="B5" s="65" t="s">
        <v>79</v>
      </c>
      <c r="C5" s="65" t="s">
        <v>80</v>
      </c>
      <c r="D5" s="65" t="s">
        <v>79</v>
      </c>
      <c r="E5" s="65" t="s">
        <v>80</v>
      </c>
      <c r="F5" s="65"/>
      <c r="G5" s="42"/>
    </row>
    <row r="6" ht="17.25" customHeight="1" spans="1:11">
      <c r="A6" s="42"/>
      <c r="B6" s="42"/>
      <c r="C6" s="42"/>
      <c r="D6" s="42"/>
      <c r="E6" s="42"/>
      <c r="F6" s="42"/>
      <c r="G6" s="42"/>
    </row>
    <row r="7" ht="55.5" customHeight="1" spans="1:11">
      <c r="A7" s="49" t="s">
        <v>81</v>
      </c>
      <c r="B7" s="241">
        <f>SUM(B8:B9)</f>
        <v>100</v>
      </c>
      <c r="C7" s="223">
        <f>SUM(C8:C9)</f>
        <v>3225.428</v>
      </c>
      <c r="D7" s="241">
        <f t="shared" ref="D7:E7" si="0">SUM(D8:D9)</f>
        <v>100</v>
      </c>
      <c r="E7" s="223">
        <f t="shared" si="0"/>
        <v>3755.682</v>
      </c>
      <c r="F7" s="215">
        <f t="shared" ref="F7:F9" si="1">(E7/C7-1)*100</f>
        <v>16.4398027176548</v>
      </c>
      <c r="G7" s="216"/>
      <c r="H7" s="223">
        <f>'Jadual 1'!G8</f>
        <v>3225.428</v>
      </c>
      <c r="I7" s="223">
        <f>'Jadual 1'!H8</f>
        <v>3755.682</v>
      </c>
      <c r="K7" s="242">
        <f>(E7/C7-1)*100</f>
        <v>16.4398027176548</v>
      </c>
    </row>
    <row r="8" ht="55.5" customHeight="1" spans="1:11">
      <c r="A8" s="105" t="s">
        <v>82</v>
      </c>
      <c r="B8" s="243">
        <f>C8/C$7*100</f>
        <v>60.8722005265658</v>
      </c>
      <c r="C8" s="222">
        <f>'[13]J2&amp;3'!$J61</f>
        <v>1963.389</v>
      </c>
      <c r="D8" s="243">
        <f>E8/E$7*100</f>
        <v>60.727878451903</v>
      </c>
      <c r="E8" s="222">
        <f>'[13]J2&amp;3'!$J51</f>
        <v>2280.746</v>
      </c>
      <c r="F8" s="220">
        <f t="shared" si="1"/>
        <v>16.1637352557237</v>
      </c>
      <c r="G8" s="221"/>
      <c r="H8" s="222"/>
      <c r="I8" s="222"/>
      <c r="K8" s="242">
        <f>(E8/C8-1)*100</f>
        <v>16.1637352557237</v>
      </c>
    </row>
    <row r="9" ht="55.5" customHeight="1" spans="1:11">
      <c r="A9" s="105" t="s">
        <v>83</v>
      </c>
      <c r="B9" s="243">
        <f>C9/C$7*100</f>
        <v>39.1277994734342</v>
      </c>
      <c r="C9" s="222">
        <f>'[13]J2&amp;3'!$J62</f>
        <v>1262.039</v>
      </c>
      <c r="D9" s="243">
        <f>E9/E$7*100</f>
        <v>39.272121548097</v>
      </c>
      <c r="E9" s="222">
        <f>'[13]J2&amp;3'!$J52</f>
        <v>1474.936</v>
      </c>
      <c r="F9" s="220">
        <f t="shared" si="1"/>
        <v>16.8692885085168</v>
      </c>
      <c r="G9" s="221"/>
      <c r="H9" s="222"/>
      <c r="I9" s="222"/>
      <c r="K9" s="242">
        <f>(E9/C9-1)*100</f>
        <v>16.8692885085168</v>
      </c>
    </row>
    <row r="10" ht="15" customHeight="1" spans="1:11">
      <c r="A10" s="60"/>
      <c r="B10" s="244"/>
      <c r="C10" s="244"/>
      <c r="D10" s="245"/>
      <c r="E10" s="244"/>
      <c r="F10" s="244"/>
      <c r="G10" s="246"/>
    </row>
    <row r="11" ht="15" customHeight="1" spans="1:11">
      <c r="A11" s="247"/>
      <c r="B11" s="248"/>
      <c r="C11" s="248"/>
      <c r="D11" s="248"/>
      <c r="E11" s="248"/>
      <c r="F11" s="248"/>
      <c r="G11" s="248"/>
    </row>
    <row r="12" ht="15" customHeight="1" spans="1:11">
      <c r="A12" s="247"/>
      <c r="B12" s="248"/>
      <c r="C12" s="248"/>
      <c r="D12" s="248"/>
      <c r="E12" s="248"/>
      <c r="F12" s="248"/>
      <c r="G12" s="248"/>
    </row>
    <row r="13" ht="15" customHeight="1" spans="1:11">
      <c r="A13" s="247"/>
      <c r="B13" s="248"/>
      <c r="C13" s="248"/>
      <c r="D13" s="248"/>
      <c r="E13" s="248"/>
      <c r="F13" s="248"/>
      <c r="G13" s="248"/>
    </row>
    <row r="14" ht="15" customHeight="1" spans="1:11">
      <c r="A14" s="3" t="str">
        <f>Tajuk!B5</f>
        <v>Jadual 3: Perjalanan pelancongan domestik ke Perlis, 2024 dan 2025</v>
      </c>
      <c r="B14" s="3"/>
      <c r="C14" s="3"/>
      <c r="D14" s="3"/>
      <c r="E14" s="3"/>
      <c r="F14" s="3"/>
      <c r="G14" s="153"/>
      <c r="H14" s="9"/>
      <c r="I14" s="9"/>
    </row>
    <row r="15" ht="15" customHeight="1" spans="1:11">
      <c r="A15" s="4" t="str">
        <f>Tajuk!B6</f>
        <v>Table 3: Domestic tourism trips to Perlis, 2024 and 2025</v>
      </c>
      <c r="B15" s="4"/>
      <c r="C15" s="4"/>
      <c r="D15" s="4"/>
      <c r="E15" s="4"/>
      <c r="F15" s="4"/>
      <c r="G15" s="155"/>
      <c r="H15" s="240"/>
      <c r="I15" s="240"/>
    </row>
    <row r="16" ht="6" customHeight="1" spans="1:11">
      <c r="A16" s="33"/>
      <c r="B16" s="249"/>
      <c r="C16" s="249"/>
      <c r="D16" s="249"/>
      <c r="E16" s="249"/>
      <c r="F16" s="249"/>
      <c r="G16" s="248"/>
    </row>
    <row r="17" ht="15" customHeight="1" spans="1:11">
      <c r="A17" s="37" t="s">
        <v>84</v>
      </c>
      <c r="B17" s="8">
        <f>Master!A1</f>
        <v>2024</v>
      </c>
      <c r="C17" s="8"/>
      <c r="D17" s="8">
        <f>Master!A2</f>
        <v>2025</v>
      </c>
      <c r="E17" s="8"/>
      <c r="F17" s="161" t="s">
        <v>78</v>
      </c>
      <c r="G17" s="42"/>
      <c r="H17" s="189"/>
      <c r="I17" s="189"/>
    </row>
    <row r="18" ht="66" customHeight="1" spans="1:11">
      <c r="A18" s="40"/>
      <c r="B18" s="65" t="s">
        <v>79</v>
      </c>
      <c r="C18" s="65" t="s">
        <v>80</v>
      </c>
      <c r="D18" s="65" t="s">
        <v>79</v>
      </c>
      <c r="E18" s="65" t="s">
        <v>80</v>
      </c>
      <c r="F18" s="65"/>
      <c r="G18" s="42"/>
    </row>
    <row r="19" ht="17.25" customHeight="1" spans="1:11">
      <c r="A19" s="156"/>
      <c r="B19" s="189"/>
      <c r="C19" s="189"/>
      <c r="D19" s="14"/>
      <c r="E19" s="42"/>
      <c r="F19" s="42"/>
      <c r="G19" s="42"/>
    </row>
    <row r="20" ht="55.5" customHeight="1" spans="1:11">
      <c r="A20" s="49" t="s">
        <v>85</v>
      </c>
      <c r="B20" s="250">
        <v>100</v>
      </c>
      <c r="C20" s="223">
        <f t="shared" ref="C20:E20" si="2">SUM(C21:C22)</f>
        <v>3660.074</v>
      </c>
      <c r="D20" s="250">
        <v>100</v>
      </c>
      <c r="E20" s="223">
        <f t="shared" si="2"/>
        <v>4335.24011103116</v>
      </c>
      <c r="F20" s="215">
        <f t="shared" ref="F20:F22" si="3">(E20/C20-1)*100</f>
        <v>18.446788535728</v>
      </c>
      <c r="G20" s="223"/>
      <c r="H20" s="223">
        <f>'Jadual 1'!G10</f>
        <v>3660.074</v>
      </c>
      <c r="I20" s="223">
        <f>'Jadual 1'!H10</f>
        <v>4335.24011103116</v>
      </c>
      <c r="K20" s="242">
        <f>(E20/C20-1)*100</f>
        <v>18.446788535728</v>
      </c>
    </row>
    <row r="21" ht="55.5" customHeight="1" spans="1:11">
      <c r="A21" s="105" t="s">
        <v>86</v>
      </c>
      <c r="B21" s="251">
        <f>C21/C$20*100</f>
        <v>64.2238654191145</v>
      </c>
      <c r="C21" s="222">
        <f>'[13]J2&amp;3'!$J64</f>
        <v>2350.641</v>
      </c>
      <c r="D21" s="251">
        <f>E21/E$20*100</f>
        <v>63.5759819548129</v>
      </c>
      <c r="E21" s="222">
        <f>'[13]J2&amp;3'!$J54</f>
        <v>2756.17147068698</v>
      </c>
      <c r="F21" s="220">
        <f t="shared" si="3"/>
        <v>17.2519100401541</v>
      </c>
      <c r="G21" s="222"/>
      <c r="H21" s="222"/>
      <c r="I21" s="222"/>
      <c r="K21" s="242">
        <f t="shared" ref="K21:K22" si="4">(E21/C21-1)*100</f>
        <v>17.2519100401541</v>
      </c>
    </row>
    <row r="22" ht="55.5" customHeight="1" spans="1:11">
      <c r="A22" s="105" t="s">
        <v>87</v>
      </c>
      <c r="B22" s="251">
        <f>C22/C$20*100</f>
        <v>35.7761345808855</v>
      </c>
      <c r="C22" s="222">
        <f>'[13]J2&amp;3'!$J65</f>
        <v>1309.433</v>
      </c>
      <c r="D22" s="251">
        <f>E22/E$20*100</f>
        <v>36.4240180451871</v>
      </c>
      <c r="E22" s="222">
        <f>'[13]J2&amp;3'!$J55</f>
        <v>1579.06864034418</v>
      </c>
      <c r="F22" s="220">
        <f t="shared" si="3"/>
        <v>20.5917859366749</v>
      </c>
      <c r="G22" s="222"/>
      <c r="H22" s="222"/>
      <c r="I22" s="222"/>
      <c r="K22" s="242">
        <f t="shared" si="4"/>
        <v>20.5917859366749</v>
      </c>
    </row>
    <row r="23" ht="15" customHeight="1" spans="1:11">
      <c r="A23" s="33"/>
      <c r="B23" s="249"/>
      <c r="C23" s="249"/>
      <c r="D23" s="249"/>
      <c r="E23" s="249"/>
      <c r="F23" s="249"/>
      <c r="G23" s="248"/>
    </row>
    <row r="24" ht="15.75" customHeight="1" spans="1:11">
      <c r="A24" s="1"/>
    </row>
    <row r="25" spans="1:11">
      <c r="A25" s="1"/>
    </row>
    <row r="26" spans="1:11">
      <c r="A26" s="1"/>
      <c r="C26" s="252">
        <f>C20/C7</f>
        <v>1.13475606958208</v>
      </c>
      <c r="E26" s="252">
        <f>E20/E7</f>
        <v>1.15431501150288</v>
      </c>
      <c r="F26" s="252"/>
      <c r="G26" s="252"/>
    </row>
    <row r="27" spans="1:11">
      <c r="A27" s="1"/>
      <c r="E27" s="242">
        <f>(E26/C26-1)*100</f>
        <v>1.7236252305749</v>
      </c>
      <c r="F27" s="242"/>
      <c r="G27" s="242"/>
    </row>
    <row r="28" spans="1:11">
      <c r="A28" s="1"/>
    </row>
    <row r="29" spans="1:11">
      <c r="A29" s="1"/>
    </row>
    <row r="30" spans="1:11">
      <c r="A30" s="1"/>
    </row>
    <row r="31" spans="1:11">
      <c r="A31" s="1"/>
    </row>
    <row r="32" spans="1:11">
      <c r="A32" s="1"/>
    </row>
  </sheetData>
  <mergeCells count="12">
    <mergeCell ref="A1:F1"/>
    <mergeCell ref="A2:F2"/>
    <mergeCell ref="B4:C4"/>
    <mergeCell ref="D4:E4"/>
    <mergeCell ref="A14:F14"/>
    <mergeCell ref="A15:F15"/>
    <mergeCell ref="B17:C17"/>
    <mergeCell ref="D17:E17"/>
    <mergeCell ref="A4:A5"/>
    <mergeCell ref="A17:A18"/>
    <mergeCell ref="F4:F5"/>
    <mergeCell ref="F17:F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&amp;C&amp;"Arial,Regular"&amp;10 30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zoomScalePageLayoutView="130" zoomScaleSheetLayoutView="70" workbookViewId="0">
      <selection activeCell="A1" sqref="A1:H1"/>
    </sheetView>
  </sheetViews>
  <sheetFormatPr defaultColWidth="9" defaultRowHeight="14.4"/>
  <cols>
    <col min="1" max="2" width="1.66666666666667" style="2" customWidth="1"/>
    <col min="3" max="3" width="34.6666666666667" style="2" customWidth="1"/>
    <col min="4" max="4" width="11.6666666666667" style="1" customWidth="1"/>
    <col min="5" max="5" width="8.33333333333333" style="1" customWidth="1"/>
    <col min="6" max="6" width="11.6666666666667" style="1" customWidth="1"/>
    <col min="7" max="7" width="8.33333333333333" style="1" customWidth="1"/>
    <col min="8" max="8" width="14.6666666666667" style="1" customWidth="1"/>
    <col min="9" max="9" width="1.66666666666667" style="1" customWidth="1"/>
    <col min="10" max="11" width="8.66666666666667" style="212" customWidth="1"/>
    <col min="12" max="12" width="9" style="2"/>
    <col min="13" max="16" width="9" style="213"/>
    <col min="17" max="16384" width="9" style="2"/>
  </cols>
  <sheetData>
    <row r="1" ht="30" customHeight="1" spans="1:13">
      <c r="A1" s="98" t="str">
        <f>Tajuk!B7</f>
        <v>Jadual 4: Terimaan pelancongan domestik mengikut jenis perjalanan di Perlis, 2024 dan 2025</v>
      </c>
      <c r="B1" s="98"/>
      <c r="C1" s="98"/>
      <c r="D1" s="98"/>
      <c r="E1" s="98"/>
      <c r="F1" s="98"/>
      <c r="G1" s="98"/>
      <c r="H1" s="98"/>
      <c r="I1" s="98"/>
      <c r="J1" s="3"/>
      <c r="K1" s="3"/>
    </row>
    <row r="2" ht="15" customHeight="1" spans="1:13">
      <c r="A2" s="4" t="str">
        <f>Tajuk!B8</f>
        <v>Table 4: Domestic tourism receipts by type of trip in Perlis, 2024 and 2025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ht="6" customHeight="1" spans="1:13">
      <c r="A3" s="4"/>
      <c r="B3" s="4"/>
      <c r="C3" s="4"/>
      <c r="D3" s="78"/>
      <c r="E3" s="78"/>
      <c r="F3" s="78"/>
      <c r="G3" s="78"/>
      <c r="H3" s="78"/>
      <c r="I3" s="101"/>
      <c r="J3" s="101"/>
      <c r="K3" s="101"/>
    </row>
    <row r="4" ht="15" customHeight="1" spans="1:13">
      <c r="A4" s="161" t="s">
        <v>88</v>
      </c>
      <c r="B4" s="161"/>
      <c r="C4" s="161"/>
      <c r="D4" s="8">
        <f>Master!A1</f>
        <v>2024</v>
      </c>
      <c r="E4" s="8"/>
      <c r="F4" s="8">
        <f>Master!A2</f>
        <v>2025</v>
      </c>
      <c r="G4" s="8"/>
      <c r="H4" s="161" t="s">
        <v>78</v>
      </c>
      <c r="I4" s="42"/>
    </row>
    <row r="5" ht="66" customHeight="1" spans="1:13">
      <c r="A5" s="65"/>
      <c r="B5" s="65"/>
      <c r="C5" s="65"/>
      <c r="D5" s="65" t="s">
        <v>79</v>
      </c>
      <c r="E5" s="65" t="s">
        <v>89</v>
      </c>
      <c r="F5" s="65" t="s">
        <v>79</v>
      </c>
      <c r="G5" s="65" t="s">
        <v>89</v>
      </c>
      <c r="H5" s="65"/>
      <c r="I5" s="42"/>
    </row>
    <row r="6" ht="7.5" customHeight="1" spans="1:13">
      <c r="A6" s="69"/>
      <c r="B6" s="69"/>
      <c r="C6" s="69"/>
      <c r="D6" s="69"/>
      <c r="E6" s="69"/>
      <c r="F6" s="101"/>
      <c r="G6" s="101"/>
      <c r="H6" s="101"/>
      <c r="I6" s="101"/>
    </row>
    <row r="7" ht="17.25" customHeight="1" spans="1:13">
      <c r="A7" s="49" t="s">
        <v>90</v>
      </c>
      <c r="B7" s="49"/>
      <c r="C7" s="49"/>
      <c r="D7" s="214">
        <v>100</v>
      </c>
      <c r="E7" s="193">
        <f t="shared" ref="E7:G7" si="0">SUM(E8:E9)</f>
        <v>1002.81372997629</v>
      </c>
      <c r="F7" s="214">
        <v>100</v>
      </c>
      <c r="G7" s="193">
        <f t="shared" si="0"/>
        <v>1211.20382670128</v>
      </c>
      <c r="H7" s="215">
        <f>(G7/E7-1)*100</f>
        <v>20.7805388474204</v>
      </c>
      <c r="I7" s="216"/>
      <c r="J7" s="217">
        <f>'Jadual 1'!G6</f>
        <v>1002.81372997629</v>
      </c>
      <c r="K7" s="217">
        <f>'Jadual 1'!H6</f>
        <v>1211.20382670128</v>
      </c>
      <c r="M7" s="218">
        <f>(G7/E7-1)*100</f>
        <v>20.7805388474204</v>
      </c>
    </row>
    <row r="8" ht="17.25" customHeight="1" spans="1:13">
      <c r="B8" s="49" t="s">
        <v>91</v>
      </c>
      <c r="C8" s="49"/>
      <c r="D8" s="219">
        <f>E8/E$7*100</f>
        <v>33.7093086171579</v>
      </c>
      <c r="E8" s="197">
        <f>'[13]J4-6'!$J91</f>
        <v>338.041575092941</v>
      </c>
      <c r="F8" s="219">
        <f>G8/G$7*100</f>
        <v>34.248204105886</v>
      </c>
      <c r="G8" s="197">
        <f>'[13]J4-6'!$J71</f>
        <v>414.815558706956</v>
      </c>
      <c r="H8" s="220">
        <f>(G8/E8-1)*100</f>
        <v>22.7114027595294</v>
      </c>
      <c r="I8" s="221"/>
      <c r="J8" s="222"/>
      <c r="K8" s="222"/>
      <c r="M8" s="218">
        <f t="shared" ref="M8:M9" si="1">(G8/E8-1)*100</f>
        <v>22.7114027595294</v>
      </c>
    </row>
    <row r="9" ht="17.25" customHeight="1" spans="1:13">
      <c r="B9" s="49" t="s">
        <v>92</v>
      </c>
      <c r="C9" s="49"/>
      <c r="D9" s="219">
        <f>E9/E$7*100</f>
        <v>66.2906913828421</v>
      </c>
      <c r="E9" s="197">
        <f>'[13]J4-6'!$J92</f>
        <v>664.772154883351</v>
      </c>
      <c r="F9" s="219">
        <f>G9/G$7*100</f>
        <v>65.751795894114</v>
      </c>
      <c r="G9" s="197">
        <f>'[13]J4-6'!$J72</f>
        <v>796.388267994325</v>
      </c>
      <c r="H9" s="220">
        <f>(G9/E9-1)*100</f>
        <v>19.7986802160913</v>
      </c>
      <c r="I9" s="221"/>
      <c r="J9" s="222"/>
      <c r="K9" s="222"/>
      <c r="M9" s="218">
        <f t="shared" si="1"/>
        <v>19.7986802160913</v>
      </c>
    </row>
    <row r="10" ht="9" customHeight="1" spans="1:13">
      <c r="A10" s="69"/>
      <c r="B10" s="69"/>
      <c r="C10" s="69"/>
      <c r="D10" s="49"/>
      <c r="E10" s="49"/>
      <c r="F10" s="3"/>
      <c r="G10" s="223"/>
      <c r="H10" s="223"/>
      <c r="I10" s="223"/>
    </row>
    <row r="11" ht="17.25" customHeight="1" spans="1:13">
      <c r="A11" s="69"/>
      <c r="B11" s="69"/>
      <c r="C11" s="69"/>
      <c r="D11" s="69"/>
      <c r="E11" s="64" t="s">
        <v>93</v>
      </c>
      <c r="F11" s="69"/>
      <c r="G11" s="64" t="s">
        <v>93</v>
      </c>
      <c r="H11" s="223"/>
      <c r="I11" s="223"/>
    </row>
    <row r="12" ht="17.25" customHeight="1" spans="1:13">
      <c r="A12" s="49" t="s">
        <v>94</v>
      </c>
      <c r="B12" s="49"/>
      <c r="C12" s="49"/>
      <c r="D12" s="49"/>
      <c r="E12" s="49"/>
      <c r="F12" s="68"/>
      <c r="G12" s="224"/>
      <c r="H12" s="223"/>
      <c r="I12" s="223"/>
      <c r="K12" s="225"/>
    </row>
    <row r="13" ht="32.25" customHeight="1" spans="1:13">
      <c r="B13" s="49" t="s">
        <v>95</v>
      </c>
      <c r="C13" s="49"/>
      <c r="D13" s="89"/>
      <c r="E13" s="197">
        <f t="shared" ref="E13:G13" si="2">E8*1000/(E25+E28)</f>
        <v>143.808252767199</v>
      </c>
      <c r="F13" s="68"/>
      <c r="G13" s="197">
        <f t="shared" si="2"/>
        <v>150.50426401938</v>
      </c>
      <c r="H13" s="223"/>
      <c r="I13" s="223"/>
      <c r="J13" s="222">
        <f>E8*1000/'Jadual 2 &amp; 3'!C21</f>
        <v>143.808252767199</v>
      </c>
      <c r="K13" s="222">
        <f>G8*1000/'Jadual 2 &amp; 3'!E21</f>
        <v>150.50426401938</v>
      </c>
    </row>
    <row r="14" ht="32.25" customHeight="1" spans="1:13">
      <c r="B14" s="49" t="s">
        <v>96</v>
      </c>
      <c r="C14" s="49"/>
      <c r="D14" s="89"/>
      <c r="E14" s="197">
        <f t="shared" ref="E14:G14" si="3">E9*1000/(E26+E29)</f>
        <v>507.679396260329</v>
      </c>
      <c r="F14" s="68"/>
      <c r="G14" s="197">
        <f t="shared" si="3"/>
        <v>504.340500246234</v>
      </c>
      <c r="H14" s="223"/>
      <c r="I14" s="223"/>
      <c r="J14" s="222">
        <f>E9*1000/'Jadual 2 &amp; 3'!C22</f>
        <v>507.679396260329</v>
      </c>
      <c r="K14" s="222">
        <f>G9*1000/'Jadual 2 &amp; 3'!E22</f>
        <v>504.340500246234</v>
      </c>
    </row>
    <row r="15" ht="7.5" customHeight="1" spans="1:13">
      <c r="A15" s="108"/>
      <c r="B15" s="108"/>
      <c r="C15" s="108"/>
      <c r="D15" s="108"/>
      <c r="E15" s="108"/>
      <c r="F15" s="108"/>
      <c r="G15" s="108"/>
      <c r="H15" s="108"/>
      <c r="I15" s="107"/>
    </row>
    <row r="16" ht="15" customHeight="1" spans="1:13">
      <c r="A16" s="107"/>
      <c r="B16" s="107"/>
      <c r="C16" s="107"/>
      <c r="D16" s="107"/>
      <c r="E16" s="107"/>
      <c r="F16" s="107"/>
      <c r="G16" s="107"/>
      <c r="H16" s="107"/>
      <c r="I16" s="107"/>
    </row>
    <row r="17" ht="30" customHeight="1" spans="1:11">
      <c r="A17" s="98" t="str">
        <f>Tajuk!B9</f>
        <v>Jadual 5: Perjalanan pelancongan domestik mengikut jenis perjalanan ke Perlis, 2024 dan 2025</v>
      </c>
      <c r="B17" s="98"/>
      <c r="C17" s="98"/>
      <c r="D17" s="98"/>
      <c r="E17" s="98"/>
      <c r="F17" s="98"/>
      <c r="G17" s="98"/>
      <c r="H17" s="98"/>
      <c r="I17" s="98"/>
      <c r="J17" s="3"/>
      <c r="K17" s="3"/>
    </row>
    <row r="18" ht="15" customHeight="1" spans="1:11">
      <c r="A18" s="4" t="str">
        <f>Tajuk!B10</f>
        <v>Table 5: Domestic tourism trips by type of trip to Perlis, 2024 and 2025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6" customHeight="1" spans="1:11">
      <c r="A19" s="99"/>
      <c r="B19" s="99"/>
      <c r="C19" s="99"/>
      <c r="D19" s="78"/>
      <c r="E19" s="78"/>
      <c r="F19" s="78"/>
      <c r="G19" s="78"/>
      <c r="H19" s="78"/>
      <c r="I19" s="101"/>
    </row>
    <row r="20" ht="15" customHeight="1" spans="1:11">
      <c r="A20" s="226" t="s">
        <v>97</v>
      </c>
      <c r="B20" s="226"/>
      <c r="C20" s="226"/>
      <c r="D20" s="227"/>
      <c r="E20" s="8">
        <f>Master!A1</f>
        <v>2024</v>
      </c>
      <c r="F20" s="8"/>
      <c r="G20" s="8">
        <f>Master!A2</f>
        <v>2025</v>
      </c>
      <c r="H20" s="8"/>
      <c r="I20" s="42"/>
    </row>
    <row r="21" ht="15" customHeight="1" spans="1:11">
      <c r="A21" s="64"/>
      <c r="B21" s="64"/>
      <c r="C21" s="64"/>
      <c r="D21" s="26"/>
      <c r="E21" s="65" t="s">
        <v>80</v>
      </c>
      <c r="F21" s="65"/>
      <c r="G21" s="65"/>
      <c r="H21" s="65"/>
      <c r="I21" s="42"/>
    </row>
    <row r="22" ht="7.5" customHeight="1" spans="1:11">
      <c r="A22" s="3"/>
      <c r="B22" s="3"/>
      <c r="C22" s="3"/>
      <c r="D22" s="3"/>
      <c r="E22" s="3"/>
      <c r="F22" s="3"/>
      <c r="G22" s="3"/>
      <c r="H22" s="3"/>
      <c r="I22" s="3"/>
    </row>
    <row r="23" ht="17.25" customHeight="1" spans="1:11">
      <c r="A23" s="49" t="s">
        <v>98</v>
      </c>
      <c r="B23" s="49"/>
      <c r="C23" s="49"/>
      <c r="E23" s="228">
        <f>E24+E27</f>
        <v>3660.074</v>
      </c>
      <c r="F23" s="228"/>
      <c r="G23" s="228">
        <f>G24+G27</f>
        <v>4335.24011103116</v>
      </c>
      <c r="H23" s="228"/>
      <c r="I23" s="229"/>
      <c r="J23" s="223">
        <f>'Jadual 1'!G10</f>
        <v>3660.074</v>
      </c>
      <c r="K23" s="223">
        <f>'Jadual 1'!H10</f>
        <v>4335.24011103116</v>
      </c>
    </row>
    <row r="24" ht="17.25" customHeight="1" spans="1:11">
      <c r="B24" s="49" t="s">
        <v>99</v>
      </c>
      <c r="C24" s="49"/>
      <c r="E24" s="228">
        <f>SUM(E25:F26)</f>
        <v>183.258</v>
      </c>
      <c r="F24" s="228"/>
      <c r="G24" s="228">
        <f>SUM(G25:H26)</f>
        <v>1213.274</v>
      </c>
      <c r="H24" s="228"/>
      <c r="I24" s="229"/>
      <c r="J24" s="223">
        <f>'[13]J4-6'!$J93</f>
        <v>183.258</v>
      </c>
      <c r="K24" s="223">
        <f>'[13]J4-6'!$J73</f>
        <v>1213.274</v>
      </c>
    </row>
    <row r="25" ht="17.25" customHeight="1" spans="1:11">
      <c r="C25" s="49" t="s">
        <v>100</v>
      </c>
      <c r="E25" s="230">
        <f>'[13]J4-6'!$J94</f>
        <v>70.492</v>
      </c>
      <c r="F25" s="230"/>
      <c r="G25" s="230">
        <f>'[13]J4-6'!$J74</f>
        <v>957.918</v>
      </c>
      <c r="H25" s="230"/>
      <c r="I25" s="231"/>
      <c r="J25" s="223"/>
      <c r="K25" s="223"/>
    </row>
    <row r="26" ht="17.25" customHeight="1" spans="1:11">
      <c r="C26" s="49" t="s">
        <v>101</v>
      </c>
      <c r="E26" s="230">
        <f>'[13]J4-6'!$J95</f>
        <v>112.766</v>
      </c>
      <c r="F26" s="230"/>
      <c r="G26" s="230">
        <f>'[13]J4-6'!$J75</f>
        <v>255.356</v>
      </c>
      <c r="H26" s="230"/>
      <c r="I26" s="231"/>
      <c r="J26" s="223"/>
      <c r="K26" s="223"/>
    </row>
    <row r="27" ht="17.25" customHeight="1" spans="1:11">
      <c r="B27" s="49" t="s">
        <v>102</v>
      </c>
      <c r="C27" s="49"/>
      <c r="E27" s="228">
        <f>SUM(E28:F29)</f>
        <v>3476.816</v>
      </c>
      <c r="F27" s="228"/>
      <c r="G27" s="228">
        <f>SUM(G28:H29)</f>
        <v>3121.96611103116</v>
      </c>
      <c r="H27" s="228"/>
      <c r="I27" s="229"/>
      <c r="J27" s="223">
        <f>'[13]J4-6'!$J96</f>
        <v>3476.816</v>
      </c>
      <c r="K27" s="223">
        <f>'[13]J4-6'!$J76</f>
        <v>3121.96611103116</v>
      </c>
    </row>
    <row r="28" ht="17.25" customHeight="1" spans="1:11">
      <c r="C28" s="49" t="s">
        <v>100</v>
      </c>
      <c r="E28" s="230">
        <f>'[13]J4-6'!$J97</f>
        <v>2280.149</v>
      </c>
      <c r="F28" s="230"/>
      <c r="G28" s="230">
        <f>'[13]J4-6'!$J77</f>
        <v>1798.25347068698</v>
      </c>
      <c r="H28" s="230"/>
      <c r="I28" s="231"/>
      <c r="J28" s="223"/>
      <c r="K28" s="223"/>
    </row>
    <row r="29" ht="17.25" customHeight="1" spans="1:11">
      <c r="C29" s="49" t="s">
        <v>101</v>
      </c>
      <c r="E29" s="230">
        <f>'[13]J4-6'!$J98</f>
        <v>1196.667</v>
      </c>
      <c r="F29" s="230"/>
      <c r="G29" s="230">
        <f>'[13]J4-6'!$J78</f>
        <v>1323.71264034418</v>
      </c>
      <c r="H29" s="230"/>
      <c r="I29" s="231"/>
      <c r="J29" s="223"/>
      <c r="K29" s="223"/>
    </row>
    <row r="30" ht="7.5" customHeight="1" spans="1:11">
      <c r="A30" s="64"/>
      <c r="B30" s="64"/>
      <c r="C30" s="64"/>
      <c r="D30" s="63"/>
      <c r="E30" s="63"/>
      <c r="F30" s="63"/>
      <c r="G30" s="232"/>
      <c r="H30" s="232"/>
      <c r="I30" s="68"/>
    </row>
    <row r="31" ht="15" customHeight="1" spans="1:11">
      <c r="A31" s="3"/>
      <c r="B31" s="3"/>
      <c r="C31" s="3"/>
      <c r="D31" s="49"/>
      <c r="E31" s="49"/>
      <c r="F31" s="49"/>
      <c r="G31" s="68"/>
      <c r="H31" s="68"/>
      <c r="I31" s="68"/>
    </row>
    <row r="32" ht="15" customHeight="1" spans="1:11">
      <c r="A32" s="3" t="str">
        <f>Tajuk!B11</f>
        <v>Jadual 6: Purata bilangan hari menginap bagi pelancong ke Perlis, 2024 dan 2025</v>
      </c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15" customHeight="1" spans="1:11">
      <c r="A33" s="4" t="str">
        <f>Tajuk!B12</f>
        <v>Table 6: Average length of stay of tourists to Perlis, 2024 and 2025</v>
      </c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6" customHeight="1" spans="1:11">
      <c r="A34" s="99"/>
      <c r="B34" s="99"/>
      <c r="C34" s="99"/>
      <c r="D34" s="78"/>
      <c r="E34" s="78"/>
      <c r="F34" s="78"/>
      <c r="G34" s="78"/>
      <c r="H34" s="78"/>
      <c r="I34" s="101"/>
    </row>
    <row r="35" ht="15" customHeight="1" spans="1:11">
      <c r="A35" s="233"/>
      <c r="B35" s="233"/>
      <c r="C35" s="233"/>
      <c r="D35" s="6"/>
      <c r="E35" s="8">
        <f>Master!A1</f>
        <v>2024</v>
      </c>
      <c r="F35" s="8"/>
      <c r="G35" s="8">
        <f>Master!A2</f>
        <v>2025</v>
      </c>
      <c r="H35" s="8"/>
      <c r="I35" s="42"/>
    </row>
    <row r="36" ht="7.5" customHeight="1" spans="1:11">
      <c r="A36" s="3"/>
      <c r="B36" s="3"/>
      <c r="C36" s="3"/>
      <c r="E36" s="89"/>
      <c r="F36" s="89"/>
      <c r="G36" s="89"/>
      <c r="H36" s="3"/>
      <c r="I36" s="3"/>
    </row>
    <row r="37" ht="27.75" customHeight="1" spans="1:11">
      <c r="A37" s="49" t="s">
        <v>76</v>
      </c>
      <c r="B37" s="49"/>
      <c r="C37" s="49"/>
      <c r="E37" s="234">
        <f>E39/E41</f>
        <v>2.48663839005127</v>
      </c>
      <c r="F37" s="234"/>
      <c r="G37" s="234">
        <f>G39/G41</f>
        <v>2.24678266562286</v>
      </c>
      <c r="H37" s="234"/>
      <c r="I37" s="235"/>
      <c r="J37" s="236">
        <f>'Jadual 1'!G16</f>
        <v>2.48663839005127</v>
      </c>
      <c r="K37" s="236">
        <f>'Jadual 1'!H16</f>
        <v>2.24678266562286</v>
      </c>
    </row>
    <row r="38" ht="7.5" customHeight="1" spans="1:11">
      <c r="A38" s="237"/>
      <c r="B38" s="237"/>
      <c r="C38" s="237"/>
      <c r="E38" s="228"/>
      <c r="F38" s="228"/>
      <c r="G38" s="228"/>
      <c r="H38" s="228"/>
      <c r="I38" s="229"/>
      <c r="K38" s="225"/>
    </row>
    <row r="39" ht="27.75" customHeight="1" spans="1:11">
      <c r="A39" s="49" t="s">
        <v>103</v>
      </c>
      <c r="B39" s="49"/>
      <c r="C39" s="49"/>
      <c r="E39" s="228">
        <f>'[13]J4-6'!$J101</f>
        <v>3256.086367</v>
      </c>
      <c r="F39" s="228"/>
      <c r="G39" s="228">
        <f>'[13]J4-6'!$J81</f>
        <v>3547.82404895396</v>
      </c>
      <c r="H39" s="228"/>
      <c r="I39" s="229"/>
      <c r="J39" s="222"/>
      <c r="K39" s="222"/>
    </row>
    <row r="40" ht="7.5" customHeight="1" spans="1:11">
      <c r="A40" s="69"/>
      <c r="B40" s="69"/>
      <c r="C40" s="69"/>
      <c r="E40" s="234"/>
      <c r="F40" s="234"/>
      <c r="G40" s="234"/>
      <c r="H40" s="234"/>
      <c r="I40" s="238"/>
      <c r="K40" s="239"/>
    </row>
    <row r="41" ht="27.75" customHeight="1" spans="1:11">
      <c r="A41" s="49" t="s">
        <v>104</v>
      </c>
      <c r="B41" s="49"/>
      <c r="C41" s="49"/>
      <c r="E41" s="228">
        <f>E26+E29</f>
        <v>1309.433</v>
      </c>
      <c r="F41" s="228"/>
      <c r="G41" s="228">
        <f>G26+G29</f>
        <v>1579.06864034418</v>
      </c>
      <c r="H41" s="228"/>
      <c r="I41" s="229"/>
      <c r="J41" s="223">
        <f>'[13]J4-6'!$J100</f>
        <v>1309.433</v>
      </c>
      <c r="K41" s="223">
        <f>'[13]J4-6'!$J80</f>
        <v>1579.06864034418</v>
      </c>
    </row>
    <row r="42" ht="7.5" customHeight="1" spans="1:11">
      <c r="A42" s="64"/>
      <c r="B42" s="64"/>
      <c r="C42" s="64"/>
      <c r="D42" s="63"/>
      <c r="E42" s="63"/>
      <c r="F42" s="63"/>
      <c r="G42" s="232"/>
      <c r="H42" s="232"/>
      <c r="I42" s="68"/>
    </row>
    <row r="43" ht="9" customHeight="1" spans="1:11">
      <c r="A43" s="87"/>
      <c r="B43" s="87"/>
      <c r="C43" s="87"/>
      <c r="D43" s="237"/>
      <c r="E43" s="237"/>
      <c r="F43" s="237"/>
      <c r="G43" s="237"/>
      <c r="H43" s="237"/>
      <c r="I43" s="237"/>
    </row>
  </sheetData>
  <mergeCells count="52">
    <mergeCell ref="A1:H1"/>
    <mergeCell ref="A2:H2"/>
    <mergeCell ref="D4:E4"/>
    <mergeCell ref="F4:G4"/>
    <mergeCell ref="A7:C7"/>
    <mergeCell ref="B8:C8"/>
    <mergeCell ref="B9:C9"/>
    <mergeCell ref="A12:C12"/>
    <mergeCell ref="B13:C13"/>
    <mergeCell ref="B14:C14"/>
    <mergeCell ref="A17:H17"/>
    <mergeCell ref="A18:H18"/>
    <mergeCell ref="E20:F20"/>
    <mergeCell ref="G20:H20"/>
    <mergeCell ref="E21:H21"/>
    <mergeCell ref="A23:C23"/>
    <mergeCell ref="E23:F23"/>
    <mergeCell ref="G23:H23"/>
    <mergeCell ref="B24:C24"/>
    <mergeCell ref="E24:F24"/>
    <mergeCell ref="G24:H24"/>
    <mergeCell ref="E25:F25"/>
    <mergeCell ref="G25:H25"/>
    <mergeCell ref="E26:F26"/>
    <mergeCell ref="G26:H26"/>
    <mergeCell ref="B27:C27"/>
    <mergeCell ref="E27:F27"/>
    <mergeCell ref="G27:H27"/>
    <mergeCell ref="E28:F28"/>
    <mergeCell ref="G28:H28"/>
    <mergeCell ref="E29:F29"/>
    <mergeCell ref="G29:H29"/>
    <mergeCell ref="A32:H32"/>
    <mergeCell ref="A33:H33"/>
    <mergeCell ref="E35:F35"/>
    <mergeCell ref="G35:H35"/>
    <mergeCell ref="A37:C37"/>
    <mergeCell ref="E37:F37"/>
    <mergeCell ref="G37:H37"/>
    <mergeCell ref="E38:F38"/>
    <mergeCell ref="G38:H38"/>
    <mergeCell ref="A39:C39"/>
    <mergeCell ref="E39:F39"/>
    <mergeCell ref="G39:H39"/>
    <mergeCell ref="E40:F40"/>
    <mergeCell ref="G40:H40"/>
    <mergeCell ref="A41:C41"/>
    <mergeCell ref="E41:F41"/>
    <mergeCell ref="G41:H41"/>
    <mergeCell ref="H4:H5"/>
    <mergeCell ref="A20:C21"/>
    <mergeCell ref="A4:C5"/>
  </mergeCells>
  <pageMargins left="0.590277777777778" right="0.196527777777778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zoomScaleSheetLayoutView="70" workbookViewId="0">
      <selection activeCell="A1" sqref="A1:E1"/>
    </sheetView>
  </sheetViews>
  <sheetFormatPr defaultColWidth="9" defaultRowHeight="14.4"/>
  <cols>
    <col min="1" max="1" width="35.6666666666667" style="2" customWidth="1"/>
    <col min="2" max="3" width="13.6666666666667" style="1" customWidth="1"/>
    <col min="4" max="5" width="11.6666666666667" style="1" customWidth="1"/>
    <col min="6" max="6" width="12" style="1" customWidth="1"/>
    <col min="7" max="7" width="12" style="96" customWidth="1"/>
    <col min="8" max="10" width="9" style="96"/>
    <col min="11" max="11" width="9" style="185"/>
    <col min="12" max="12" width="16.8888888888889" style="186" customWidth="1"/>
    <col min="13" max="14" width="8.66666666666667" style="2" customWidth="1"/>
    <col min="15" max="16384" width="9" style="2"/>
  </cols>
  <sheetData>
    <row r="1" ht="30" customHeight="1" spans="1:14">
      <c r="A1" s="98" t="str">
        <f>Tajuk!B13</f>
        <v>Jadual 7: Terimaan pelancongan daripada pelawat domestik ke Perlis mengikut komponen, 2024 dan 2025</v>
      </c>
      <c r="B1" s="98"/>
      <c r="C1" s="98"/>
      <c r="D1" s="98"/>
      <c r="E1" s="98"/>
    </row>
    <row r="2" ht="15" customHeight="1" spans="1:14">
      <c r="A2" s="4" t="str">
        <f>Tajuk!B14</f>
        <v>Table 7: Tourism receipts from domestic visitors to Perlis by component, 2024 and 2025</v>
      </c>
      <c r="B2" s="4"/>
      <c r="C2" s="4"/>
      <c r="D2" s="4"/>
      <c r="E2" s="4"/>
    </row>
    <row r="3" ht="6" customHeight="1" spans="1:14">
      <c r="A3" s="187"/>
      <c r="B3" s="187"/>
      <c r="C3" s="188"/>
      <c r="D3" s="188"/>
      <c r="E3" s="33"/>
      <c r="F3" s="189"/>
      <c r="G3" s="190"/>
    </row>
    <row r="4" ht="15" customHeight="1" spans="1:14">
      <c r="A4" s="37" t="s">
        <v>105</v>
      </c>
      <c r="B4" s="191">
        <f>Master!A1</f>
        <v>2024</v>
      </c>
      <c r="C4" s="191">
        <f>Master!A2</f>
        <v>2025</v>
      </c>
      <c r="D4" s="191">
        <f>Master!A1</f>
        <v>2024</v>
      </c>
      <c r="E4" s="191">
        <f>Master!A2</f>
        <v>2025</v>
      </c>
    </row>
    <row r="5" ht="45" customHeight="1" spans="1:14">
      <c r="A5" s="40"/>
      <c r="B5" s="65" t="s">
        <v>106</v>
      </c>
      <c r="C5" s="65"/>
      <c r="D5" s="65" t="s">
        <v>79</v>
      </c>
      <c r="E5" s="65"/>
    </row>
    <row r="6" ht="17.25" customHeight="1" spans="1:14">
      <c r="A6" s="42"/>
      <c r="B6" s="42"/>
      <c r="C6" s="42"/>
      <c r="D6" s="42"/>
      <c r="E6" s="42"/>
      <c r="L6" s="192">
        <v>2</v>
      </c>
      <c r="M6" s="192">
        <v>4</v>
      </c>
      <c r="N6" s="192">
        <v>3</v>
      </c>
    </row>
    <row r="7" ht="60" customHeight="1" spans="1:14">
      <c r="A7" s="49" t="s">
        <v>107</v>
      </c>
      <c r="B7" s="193">
        <f>SUM(B8:B14)</f>
        <v>880942.317040024</v>
      </c>
      <c r="C7" s="193">
        <f>SUM(C8:C14)</f>
        <v>1081953.33975296</v>
      </c>
      <c r="D7" s="102">
        <f>B7/B$16*100</f>
        <v>87.8470538153531</v>
      </c>
      <c r="E7" s="102">
        <f>C7/C$16*100</f>
        <v>89.3287583725411</v>
      </c>
      <c r="F7" s="194"/>
      <c r="G7" s="195"/>
      <c r="M7" s="196">
        <v>2024</v>
      </c>
      <c r="N7" s="196">
        <v>2022</v>
      </c>
    </row>
    <row r="8" ht="60" customHeight="1" spans="1:14">
      <c r="A8" s="105" t="s">
        <v>108</v>
      </c>
      <c r="B8" s="197">
        <f>'[13]J7'!$J61</f>
        <v>288897.32974902</v>
      </c>
      <c r="C8" s="197">
        <f>'[13]J7'!$J41</f>
        <v>327518.697477988</v>
      </c>
      <c r="D8" s="198">
        <f t="shared" ref="D8:E15" si="0">B8/B$16*100</f>
        <v>28.8086731476891</v>
      </c>
      <c r="E8" s="198">
        <f t="shared" si="0"/>
        <v>27.0407581496821</v>
      </c>
      <c r="F8" s="199"/>
      <c r="G8" s="200">
        <f>RANK(C8,$C$8:$C$15)</f>
        <v>1</v>
      </c>
      <c r="H8" s="96" t="s">
        <v>109</v>
      </c>
      <c r="I8" s="201">
        <f>D8</f>
        <v>28.8086731476891</v>
      </c>
      <c r="J8" s="201">
        <f>E8</f>
        <v>27.0407581496821</v>
      </c>
      <c r="K8" s="202">
        <v>1</v>
      </c>
      <c r="L8" s="203" t="str">
        <f>VLOOKUP($K8,$G$8:$J$15,L$6,0)</f>
        <v>Membeli-belah</v>
      </c>
      <c r="M8" s="204">
        <f t="shared" ref="M8:M15" si="1">VLOOKUP($K8,$G$8:$J$15,M$6,0)</f>
        <v>27.0407581496821</v>
      </c>
      <c r="N8" s="204">
        <f t="shared" ref="N8:N15" si="2">VLOOKUP($K8,$G$8:$J$15,N$6,0)</f>
        <v>28.8086731476891</v>
      </c>
    </row>
    <row r="9" ht="60" customHeight="1" spans="1:14">
      <c r="A9" s="105" t="s">
        <v>110</v>
      </c>
      <c r="B9" s="197">
        <f>'[13]J7'!$J62</f>
        <v>162107.565777303</v>
      </c>
      <c r="C9" s="197">
        <f>'[13]J7'!$J42</f>
        <v>213862.97932326</v>
      </c>
      <c r="D9" s="198">
        <f t="shared" si="0"/>
        <v>16.1652718677012</v>
      </c>
      <c r="E9" s="198">
        <f t="shared" si="0"/>
        <v>17.6570594154839</v>
      </c>
      <c r="F9" s="199"/>
      <c r="G9" s="200">
        <f t="shared" ref="G9:G15" si="3">RANK(C9,$C$8:$C$15)</f>
        <v>3</v>
      </c>
      <c r="H9" s="96" t="s">
        <v>111</v>
      </c>
      <c r="I9" s="201">
        <f t="shared" ref="I9:I15" si="4">D9</f>
        <v>16.1652718677012</v>
      </c>
      <c r="J9" s="201">
        <f t="shared" ref="J9:J15" si="5">E9</f>
        <v>17.6570594154839</v>
      </c>
      <c r="K9" s="202">
        <v>2</v>
      </c>
      <c r="L9" s="203" t="str">
        <f t="shared" ref="L9:L15" si="6">VLOOKUP($K9,$G$8:$J$15,L$6,0)</f>
        <v>Makanan &amp; minuman</v>
      </c>
      <c r="M9" s="204">
        <f t="shared" si="1"/>
        <v>20.3471203278625</v>
      </c>
      <c r="N9" s="204">
        <f t="shared" si="2"/>
        <v>19.1493584395863</v>
      </c>
    </row>
    <row r="10" ht="60" customHeight="1" spans="1:14">
      <c r="A10" s="105" t="s">
        <v>112</v>
      </c>
      <c r="B10" s="197">
        <f>'[13]J7'!$J63</f>
        <v>76211.5380360631</v>
      </c>
      <c r="C10" s="197">
        <f>'[13]J7'!$J43</f>
        <v>101611.078036403</v>
      </c>
      <c r="D10" s="198">
        <f t="shared" si="0"/>
        <v>7.59977010265554</v>
      </c>
      <c r="E10" s="198">
        <f t="shared" si="0"/>
        <v>8.38926329296211</v>
      </c>
      <c r="F10" s="199"/>
      <c r="G10" s="200">
        <f t="shared" si="3"/>
        <v>6</v>
      </c>
      <c r="H10" s="96" t="s">
        <v>113</v>
      </c>
      <c r="I10" s="201">
        <f t="shared" si="4"/>
        <v>7.59977010265554</v>
      </c>
      <c r="J10" s="201">
        <f t="shared" si="5"/>
        <v>8.38926329296211</v>
      </c>
      <c r="K10" s="202">
        <v>3</v>
      </c>
      <c r="L10" s="203" t="str">
        <f t="shared" si="6"/>
        <v>Pembelian bahan api kenderaan</v>
      </c>
      <c r="M10" s="204">
        <f t="shared" si="1"/>
        <v>17.6570594154839</v>
      </c>
      <c r="N10" s="204">
        <f t="shared" si="2"/>
        <v>16.1652718677012</v>
      </c>
    </row>
    <row r="11" ht="60" customHeight="1" spans="1:14">
      <c r="A11" s="105" t="s">
        <v>114</v>
      </c>
      <c r="B11" s="197">
        <f>'[13]J7'!$J64</f>
        <v>192032.395634545</v>
      </c>
      <c r="C11" s="197">
        <f>'[13]J7'!$J44</f>
        <v>246445.100034585</v>
      </c>
      <c r="D11" s="198">
        <f t="shared" si="0"/>
        <v>19.1493584395863</v>
      </c>
      <c r="E11" s="198">
        <f t="shared" si="0"/>
        <v>20.3471203278625</v>
      </c>
      <c r="F11" s="199"/>
      <c r="G11" s="200">
        <f t="shared" si="3"/>
        <v>2</v>
      </c>
      <c r="H11" s="96" t="s">
        <v>115</v>
      </c>
      <c r="I11" s="201">
        <f t="shared" si="4"/>
        <v>19.1493584395863</v>
      </c>
      <c r="J11" s="201">
        <f t="shared" si="5"/>
        <v>20.3471203278625</v>
      </c>
      <c r="K11" s="202">
        <v>4</v>
      </c>
      <c r="L11" s="203" t="str">
        <f t="shared" si="6"/>
        <v>Perbelanjaan oleh isi rumah yang dilawati</v>
      </c>
      <c r="M11" s="204">
        <f t="shared" si="1"/>
        <v>10.6712416274589</v>
      </c>
      <c r="N11" s="204">
        <f t="shared" si="2"/>
        <v>12.1529461846469</v>
      </c>
    </row>
    <row r="12" ht="60" customHeight="1" spans="1:14">
      <c r="A12" s="105" t="s">
        <v>116</v>
      </c>
      <c r="B12" s="197">
        <f>'[13]J7'!$J65</f>
        <v>98789.0604133624</v>
      </c>
      <c r="C12" s="197">
        <f>'[13]J7'!$J45</f>
        <v>118121.192881978</v>
      </c>
      <c r="D12" s="198">
        <f t="shared" si="0"/>
        <v>9.8511874598783</v>
      </c>
      <c r="E12" s="198">
        <f t="shared" si="0"/>
        <v>9.75237943259158</v>
      </c>
      <c r="F12" s="199"/>
      <c r="G12" s="200">
        <f t="shared" si="3"/>
        <v>5</v>
      </c>
      <c r="H12" s="96" t="s">
        <v>117</v>
      </c>
      <c r="I12" s="201">
        <f t="shared" si="4"/>
        <v>9.8511874598783</v>
      </c>
      <c r="J12" s="201">
        <f t="shared" si="5"/>
        <v>9.75237943259158</v>
      </c>
      <c r="K12" s="202">
        <v>5</v>
      </c>
      <c r="L12" s="203" t="str">
        <f t="shared" si="6"/>
        <v>Penginapan</v>
      </c>
      <c r="M12" s="204">
        <f t="shared" si="1"/>
        <v>9.75237943259158</v>
      </c>
      <c r="N12" s="204">
        <f t="shared" si="2"/>
        <v>9.8511874598783</v>
      </c>
    </row>
    <row r="13" ht="90" customHeight="1" spans="1:14">
      <c r="A13" s="105" t="s">
        <v>118</v>
      </c>
      <c r="B13" s="197">
        <f>'[13]J7'!$J66</f>
        <v>27210.893550927</v>
      </c>
      <c r="C13" s="197">
        <f>'[13]J7'!$J46</f>
        <v>35913.3876183667</v>
      </c>
      <c r="D13" s="198">
        <f t="shared" si="0"/>
        <v>2.71345442703206</v>
      </c>
      <c r="E13" s="198">
        <f t="shared" si="0"/>
        <v>2.96509859254465</v>
      </c>
      <c r="F13" s="199"/>
      <c r="G13" s="200">
        <f t="shared" si="3"/>
        <v>8</v>
      </c>
      <c r="H13" s="96" t="s">
        <v>119</v>
      </c>
      <c r="I13" s="201">
        <f t="shared" si="4"/>
        <v>2.71345442703206</v>
      </c>
      <c r="J13" s="201">
        <f t="shared" si="5"/>
        <v>2.96509859254465</v>
      </c>
      <c r="K13" s="202">
        <v>6</v>
      </c>
      <c r="L13" s="203" t="str">
        <f t="shared" si="6"/>
        <v>Pengangkutan</v>
      </c>
      <c r="M13" s="204">
        <f t="shared" si="1"/>
        <v>8.38926329296211</v>
      </c>
      <c r="N13" s="204">
        <f t="shared" si="2"/>
        <v>7.59977010265554</v>
      </c>
    </row>
    <row r="14" ht="60" customHeight="1" spans="1:14">
      <c r="A14" s="105" t="s">
        <v>120</v>
      </c>
      <c r="B14" s="197">
        <f>'[13]J7'!$J67</f>
        <v>35693.5338788029</v>
      </c>
      <c r="C14" s="197">
        <f>'[13]J7'!$J47</f>
        <v>38480.904380379</v>
      </c>
      <c r="D14" s="198">
        <f t="shared" si="0"/>
        <v>3.55933837081057</v>
      </c>
      <c r="E14" s="198">
        <f t="shared" si="0"/>
        <v>3.1770791614143</v>
      </c>
      <c r="F14" s="199"/>
      <c r="G14" s="200">
        <f t="shared" si="3"/>
        <v>7</v>
      </c>
      <c r="H14" s="96" t="s">
        <v>121</v>
      </c>
      <c r="I14" s="201">
        <f t="shared" si="4"/>
        <v>3.55933837081057</v>
      </c>
      <c r="J14" s="201">
        <f t="shared" si="5"/>
        <v>3.1770791614143</v>
      </c>
      <c r="K14" s="202">
        <v>7</v>
      </c>
      <c r="L14" s="203" t="str">
        <f t="shared" si="6"/>
        <v>Aktiviti-aktiviti lain</v>
      </c>
      <c r="M14" s="204">
        <f t="shared" si="1"/>
        <v>3.1770791614143</v>
      </c>
      <c r="N14" s="204">
        <f t="shared" si="2"/>
        <v>3.55933837081057</v>
      </c>
    </row>
    <row r="15" ht="60" customHeight="1" spans="1:14">
      <c r="A15" s="63" t="s">
        <v>122</v>
      </c>
      <c r="B15" s="205">
        <f>'[13]J7'!$J68</f>
        <v>121871.412936269</v>
      </c>
      <c r="C15" s="205">
        <f>'[13]J7'!$J48</f>
        <v>129250.486948322</v>
      </c>
      <c r="D15" s="206">
        <f t="shared" si="0"/>
        <v>12.1529461846469</v>
      </c>
      <c r="E15" s="206">
        <f t="shared" si="0"/>
        <v>10.6712416274589</v>
      </c>
      <c r="F15" s="199"/>
      <c r="G15" s="200">
        <f t="shared" si="3"/>
        <v>4</v>
      </c>
      <c r="H15" s="96" t="s">
        <v>123</v>
      </c>
      <c r="I15" s="201">
        <f t="shared" si="4"/>
        <v>12.1529461846469</v>
      </c>
      <c r="J15" s="201">
        <f t="shared" si="5"/>
        <v>10.6712416274589</v>
      </c>
      <c r="K15" s="202">
        <v>8</v>
      </c>
      <c r="L15" s="203" t="str">
        <f t="shared" si="6"/>
        <v>Perbelanjaan sebelum perjalanan/ pakej/ bayaran masuk/ tiket</v>
      </c>
      <c r="M15" s="204">
        <f t="shared" si="1"/>
        <v>2.96509859254465</v>
      </c>
      <c r="N15" s="204">
        <f t="shared" si="2"/>
        <v>2.71345442703206</v>
      </c>
    </row>
    <row r="16" ht="36" customHeight="1" spans="1:14">
      <c r="A16" s="207" t="s">
        <v>124</v>
      </c>
      <c r="B16" s="208">
        <f>B7+B15</f>
        <v>1002813.72997629</v>
      </c>
      <c r="C16" s="208">
        <f>C7+C15</f>
        <v>1211203.82670128</v>
      </c>
      <c r="D16" s="209">
        <f>D15+D7</f>
        <v>100</v>
      </c>
      <c r="E16" s="209">
        <f>E15+E7</f>
        <v>100</v>
      </c>
      <c r="F16" s="210">
        <f>'Jadual 1'!G6*1000</f>
        <v>1002813.72997629</v>
      </c>
      <c r="G16" s="210">
        <f>'Jadual 1'!H6*1000</f>
        <v>1211203.82670128</v>
      </c>
    </row>
    <row r="17" ht="15" customHeight="1" spans="1:4">
      <c r="A17" s="1"/>
    </row>
    <row r="18" spans="1:4">
      <c r="A18" s="1"/>
      <c r="C18" s="211"/>
      <c r="D18" s="211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90" zoomScaleNormal="100" workbookViewId="0">
      <selection activeCell="A1" sqref="A1:F1"/>
    </sheetView>
  </sheetViews>
  <sheetFormatPr defaultColWidth="9" defaultRowHeight="14.4" outlineLevelCol="5"/>
  <cols>
    <col min="1" max="1" width="0.888888888888889" style="2" customWidth="1"/>
    <col min="2" max="2" width="31.6666666666667" style="151" customWidth="1"/>
    <col min="3" max="3" width="11.6666666666667" style="151" customWidth="1"/>
    <col min="4" max="4" width="2.11111111111111" style="151" customWidth="1"/>
    <col min="5" max="5" width="31.6666666666667" style="151" customWidth="1"/>
    <col min="6" max="6" width="11.6666666666667" style="2" customWidth="1"/>
    <col min="7" max="16384" width="9" style="2"/>
  </cols>
  <sheetData>
    <row r="1" ht="15" customHeight="1" spans="1:6">
      <c r="A1" s="3" t="str">
        <f>Tajuk!B15</f>
        <v>Jadual 8: Perjalanan pelancongan domestik ke Perlis mengikut tujuan utama, 2025</v>
      </c>
      <c r="B1" s="152"/>
      <c r="C1" s="152"/>
      <c r="D1" s="152"/>
      <c r="E1" s="152"/>
      <c r="F1" s="153"/>
    </row>
    <row r="2" ht="15" customHeight="1" spans="1:6">
      <c r="A2" s="4" t="str">
        <f>Tajuk!B16</f>
        <v>Table 8: Domestic tourism trips to Perlis by main purposes of visit, 2025</v>
      </c>
      <c r="B2" s="154"/>
      <c r="C2" s="154"/>
      <c r="D2" s="154"/>
      <c r="E2" s="154"/>
      <c r="F2" s="155"/>
    </row>
    <row r="3" ht="6" customHeight="1" spans="1:6">
      <c r="A3" s="156"/>
      <c r="B3" s="157"/>
      <c r="C3" s="158"/>
      <c r="D3" s="158"/>
      <c r="E3" s="158"/>
      <c r="F3" s="159"/>
    </row>
    <row r="4" ht="63" customHeight="1" spans="1:6">
      <c r="A4" s="1"/>
      <c r="B4" s="160" t="s">
        <v>125</v>
      </c>
      <c r="C4" s="160" t="s">
        <v>126</v>
      </c>
      <c r="D4" s="160"/>
      <c r="E4" s="160" t="s">
        <v>127</v>
      </c>
      <c r="F4" s="161" t="s">
        <v>126</v>
      </c>
    </row>
    <row r="5" ht="15" customHeight="1" spans="1:6">
      <c r="A5" s="1"/>
      <c r="B5" s="162"/>
      <c r="C5" s="163"/>
      <c r="D5" s="163"/>
      <c r="E5" s="162"/>
      <c r="F5" s="65"/>
    </row>
    <row r="6" ht="6" customHeight="1" spans="1:6">
      <c r="A6" s="42"/>
      <c r="B6" s="164"/>
      <c r="C6" s="164"/>
      <c r="D6" s="164"/>
      <c r="E6" s="164"/>
      <c r="F6" s="42"/>
    </row>
    <row r="7" ht="69" customHeight="1" spans="1:6">
      <c r="A7" s="165"/>
      <c r="B7" s="166" t="s">
        <v>128</v>
      </c>
      <c r="C7" s="167">
        <f>IF('[13]T8'!$J13=0,"-",'[13]T8'!$J13)</f>
        <v>42.69</v>
      </c>
      <c r="D7" s="168"/>
      <c r="E7" s="166" t="s">
        <v>128</v>
      </c>
      <c r="F7" s="169">
        <f>IF('[13]T8'!$J63=0,"-",'[13]T8'!$J63)</f>
        <v>52</v>
      </c>
    </row>
    <row r="8" ht="69" customHeight="1" spans="1:6">
      <c r="A8" s="165"/>
      <c r="B8" s="166" t="s">
        <v>129</v>
      </c>
      <c r="C8" s="167">
        <f>IF('[13]T8'!$J14=0,"-",'[13]T8'!$J14)</f>
        <v>22.57</v>
      </c>
      <c r="D8" s="168"/>
      <c r="E8" s="166" t="s">
        <v>130</v>
      </c>
      <c r="F8" s="169">
        <f>IF('[13]T8'!$J64=0,"-",'[13]T8'!$J64)</f>
        <v>35.04</v>
      </c>
    </row>
    <row r="9" ht="69" customHeight="1" spans="1:6">
      <c r="A9" s="170"/>
      <c r="B9" s="166" t="s">
        <v>130</v>
      </c>
      <c r="C9" s="167">
        <f>IF('[13]T8'!$J15=0,"-",'[13]T8'!$J15)</f>
        <v>15.24</v>
      </c>
      <c r="D9" s="168"/>
      <c r="E9" s="166" t="s">
        <v>131</v>
      </c>
      <c r="F9" s="169">
        <f>IF('[13]T8'!$J65=0,"-",'[13]T8'!$J65)</f>
        <v>3.77</v>
      </c>
    </row>
    <row r="10" ht="69" customHeight="1" spans="1:6">
      <c r="A10" s="170"/>
      <c r="B10" s="166" t="s">
        <v>132</v>
      </c>
      <c r="C10" s="167">
        <f>IF('[13]T8'!$J16=0,"-",'[13]T8'!$J16)</f>
        <v>8.02</v>
      </c>
      <c r="D10" s="168"/>
      <c r="E10" s="166" t="s">
        <v>133</v>
      </c>
      <c r="F10" s="169">
        <f>IF('[13]T8'!$J66=0,"-",'[13]T8'!$J66)</f>
        <v>3.44</v>
      </c>
    </row>
    <row r="11" ht="69" customHeight="1" spans="1:6">
      <c r="A11" s="170"/>
      <c r="B11" s="166" t="s">
        <v>133</v>
      </c>
      <c r="C11" s="167">
        <f>IF('[13]T8'!$J17=0,"-",'[13]T8'!$J17)</f>
        <v>5.67</v>
      </c>
      <c r="D11" s="168"/>
      <c r="E11" s="166" t="s">
        <v>132</v>
      </c>
      <c r="F11" s="169">
        <f>IF('[13]T8'!$J67=0,"-",'[13]T8'!$J67)</f>
        <v>2.65</v>
      </c>
    </row>
    <row r="12" ht="69" customHeight="1" spans="1:6">
      <c r="A12" s="170"/>
      <c r="B12" s="166" t="s">
        <v>131</v>
      </c>
      <c r="C12" s="167">
        <f>IF('[13]T8'!$J18=0,"-",'[13]T8'!$J18)</f>
        <v>3.36</v>
      </c>
      <c r="D12" s="168"/>
      <c r="E12" s="166" t="s">
        <v>134</v>
      </c>
      <c r="F12" s="169">
        <f>IF('[13]T8'!$J68=0,"-",'[13]T8'!$J68)</f>
        <v>2.36</v>
      </c>
    </row>
    <row r="13" ht="69" customHeight="1" spans="1:6">
      <c r="A13" s="170"/>
      <c r="B13" s="166" t="s">
        <v>134</v>
      </c>
      <c r="C13" s="167">
        <f>IF('[13]T8'!$J19=0,"-",'[13]T8'!$J19)</f>
        <v>1.72</v>
      </c>
      <c r="D13" s="168"/>
      <c r="E13" s="166" t="s">
        <v>129</v>
      </c>
      <c r="F13" s="169">
        <f>IF('[13]T8'!$J69=0,"-",'[13]T8'!$J69)</f>
        <v>0.62</v>
      </c>
    </row>
    <row r="14" ht="69" customHeight="1" spans="1:6">
      <c r="A14" s="170"/>
      <c r="B14" s="166" t="s">
        <v>135</v>
      </c>
      <c r="C14" s="167">
        <f>IF('[13]T8'!$J20=0,"-",'[13]T8'!$J20)</f>
        <v>0.73</v>
      </c>
      <c r="D14" s="168"/>
      <c r="E14" s="166" t="s">
        <v>135</v>
      </c>
      <c r="F14" s="169">
        <f>IF('[13]T8'!$J70=0,"-",'[13]T8'!$J70)</f>
        <v>0.12</v>
      </c>
    </row>
    <row r="15" ht="6" customHeight="1" spans="1:6">
      <c r="A15" s="171"/>
      <c r="B15" s="172"/>
      <c r="C15" s="173"/>
      <c r="D15" s="172"/>
      <c r="E15" s="172"/>
      <c r="F15" s="174"/>
    </row>
    <row r="16" ht="6" customHeight="1" spans="1:6">
      <c r="A16" s="171"/>
      <c r="B16" s="168"/>
      <c r="C16" s="167"/>
      <c r="D16" s="168"/>
      <c r="E16" s="168"/>
      <c r="F16" s="169"/>
    </row>
    <row r="17" ht="33" customHeight="1" spans="1:6">
      <c r="A17" s="49"/>
      <c r="B17" s="175" t="s">
        <v>136</v>
      </c>
      <c r="C17" s="176">
        <f>SUM(C7:C14)</f>
        <v>100</v>
      </c>
      <c r="D17" s="177"/>
      <c r="E17" s="177"/>
      <c r="F17" s="178">
        <f>SUM(F7:F14)</f>
        <v>100</v>
      </c>
    </row>
    <row r="18" spans="1:6">
      <c r="A18" s="1"/>
    </row>
    <row r="19" spans="1:6">
      <c r="A19" s="1"/>
      <c r="D19" s="179"/>
    </row>
    <row r="20" spans="1:6">
      <c r="A20" s="1"/>
    </row>
    <row r="21" spans="1:6">
      <c r="A21" s="180"/>
      <c r="B21" s="181"/>
    </row>
    <row r="22" spans="1:6">
      <c r="A22" s="180"/>
      <c r="B22" s="181"/>
      <c r="C22" s="182"/>
    </row>
    <row r="23" spans="1:6">
      <c r="A23" s="180"/>
      <c r="B23" s="181"/>
      <c r="C23" s="182"/>
    </row>
    <row r="24" spans="1:6">
      <c r="A24" s="180"/>
      <c r="B24" s="181"/>
    </row>
    <row r="25" spans="1:6">
      <c r="A25" s="180"/>
      <c r="B25" s="181"/>
    </row>
    <row r="26" spans="1:6">
      <c r="A26" s="180"/>
      <c r="B26" s="181"/>
    </row>
    <row r="27" spans="1:6">
      <c r="A27" s="180"/>
      <c r="B27" s="181"/>
      <c r="C27" s="182"/>
    </row>
    <row r="28" spans="1:6">
      <c r="A28" s="180"/>
      <c r="B28" s="181"/>
    </row>
    <row r="29" spans="1:6">
      <c r="A29" s="180"/>
      <c r="B29" s="181"/>
    </row>
    <row r="30" spans="1:6">
      <c r="A30" s="180"/>
      <c r="B30" s="181"/>
      <c r="C30" s="182"/>
    </row>
    <row r="31" spans="1:6">
      <c r="A31" s="180"/>
      <c r="B31" s="181"/>
    </row>
    <row r="32" spans="1:6">
      <c r="A32" s="180"/>
      <c r="B32" s="181"/>
    </row>
    <row r="33" spans="1:3">
      <c r="A33" s="183"/>
      <c r="B33" s="184"/>
      <c r="C33" s="182"/>
    </row>
  </sheetData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4.4" outlineLevelCol="5"/>
  <cols>
    <col min="1" max="1" width="6.88888888888889" style="2" customWidth="1"/>
    <col min="2" max="2" width="5.88888888888889" style="2" customWidth="1"/>
    <col min="3" max="6" width="28.6666666666667" style="2" customWidth="1"/>
    <col min="7" max="16384" width="9" style="2"/>
  </cols>
  <sheetData>
    <row r="1" ht="15" customHeight="1" spans="1:6">
      <c r="A1" s="144">
        <v>34</v>
      </c>
      <c r="B1" s="1"/>
      <c r="C1" s="3" t="str">
        <f>Tajuk!B17</f>
        <v>Jadual 9: Lima destinasi tumpuan pelawat domestik dan pelancong ke Perlis, 2024 dan 2025</v>
      </c>
      <c r="D1" s="3"/>
      <c r="E1" s="3"/>
      <c r="F1" s="3"/>
    </row>
    <row r="2" ht="15" customHeight="1" spans="1:6">
      <c r="A2" s="144"/>
      <c r="B2" s="1"/>
      <c r="C2" s="4" t="str">
        <f>Tajuk!B18</f>
        <v>Table 9: Top five destinations most visited by domestic visitors and tourists to Perlis, 2024 and 2025</v>
      </c>
      <c r="D2" s="4"/>
      <c r="E2" s="4"/>
      <c r="F2" s="4"/>
    </row>
    <row r="3" ht="6" customHeight="1" spans="1:6">
      <c r="A3" s="144"/>
      <c r="B3" s="1"/>
      <c r="C3" s="33"/>
      <c r="D3" s="33"/>
      <c r="E3" s="33"/>
      <c r="F3" s="33"/>
    </row>
    <row r="4" ht="45" customHeight="1" spans="1:6">
      <c r="A4" s="144"/>
      <c r="B4" s="1"/>
      <c r="C4" s="8" t="s">
        <v>125</v>
      </c>
      <c r="D4" s="145"/>
      <c r="E4" s="8" t="s">
        <v>127</v>
      </c>
      <c r="F4" s="145"/>
    </row>
    <row r="5" ht="22.5" customHeight="1" spans="1:6">
      <c r="A5" s="144"/>
      <c r="B5" s="1"/>
      <c r="C5" s="8">
        <f>Master!A1</f>
        <v>2024</v>
      </c>
      <c r="D5" s="118">
        <f>Master!A2</f>
        <v>2025</v>
      </c>
      <c r="E5" s="8">
        <f>Master!A1</f>
        <v>2024</v>
      </c>
      <c r="F5" s="118">
        <f>Master!A2</f>
        <v>2025</v>
      </c>
    </row>
    <row r="6" ht="6" customHeight="1" spans="1:6">
      <c r="A6" s="144"/>
      <c r="B6" s="1"/>
      <c r="C6" s="146"/>
      <c r="D6" s="147"/>
      <c r="E6" s="146"/>
      <c r="F6" s="147"/>
    </row>
    <row r="7" ht="60" customHeight="1" spans="1:6">
      <c r="A7" s="144"/>
      <c r="B7" s="1"/>
      <c r="C7" s="148" t="str">
        <f>'[13]T9'!$J21</f>
        <v>Arked Niaga Padang Besar</v>
      </c>
      <c r="D7" s="148" t="str">
        <f>'[13]T9'!$J31</f>
        <v>Arked Niaga Padang Besar</v>
      </c>
      <c r="E7" s="148" t="str">
        <f>'[13]T9'!$J41</f>
        <v>Arked Niaga Padang Besar</v>
      </c>
      <c r="F7" s="148" t="str">
        <f>'[13]T9'!$J51</f>
        <v>Arked Niaga Padang Besar</v>
      </c>
    </row>
    <row r="8" ht="60" customHeight="1" spans="1:6">
      <c r="A8" s="144"/>
      <c r="B8" s="1"/>
      <c r="C8" s="148" t="str">
        <f>'[13]T9'!$J22</f>
        <v>Medan Ikan Bakar Kuala Perlis</v>
      </c>
      <c r="D8" s="148" t="str">
        <f>'[13]T9'!$J32</f>
        <v>Wang Kelian View Point</v>
      </c>
      <c r="E8" s="148" t="str">
        <f>'[13]T9'!$J42</f>
        <v>Tasik Timah Tasoh</v>
      </c>
      <c r="F8" s="148" t="str">
        <f>'[13]T9'!$J52</f>
        <v>Padang Waremart</v>
      </c>
    </row>
    <row r="9" ht="60" customHeight="1" spans="1:6">
      <c r="A9" s="144"/>
      <c r="B9" s="1"/>
      <c r="C9" s="148" t="str">
        <f>'[13]T9'!$J23</f>
        <v>Padang Waremart</v>
      </c>
      <c r="D9" s="148" t="str">
        <f>'[13]T9'!$J33</f>
        <v>Taman Eko-Rimba Bukit Ayer</v>
      </c>
      <c r="E9" s="148" t="str">
        <f>'[13]T9'!$J43</f>
        <v>Ladang Nipah Kipli</v>
      </c>
      <c r="F9" s="148" t="str">
        <f>'[13]T9'!$J53</f>
        <v>Nat Pokok Getah</v>
      </c>
    </row>
    <row r="10" ht="60" customHeight="1" spans="1:6">
      <c r="A10" s="144"/>
      <c r="B10" s="1"/>
      <c r="C10" s="148" t="str">
        <f>'[13]T9'!$J24</f>
        <v>Hutan Lipur Bukit Ayer</v>
      </c>
      <c r="D10" s="148" t="str">
        <f>'[13]T9'!$J34</f>
        <v>Padang Waremart</v>
      </c>
      <c r="E10" s="148" t="str">
        <f>'[13]T9'!$J44</f>
        <v>Padang Waremart</v>
      </c>
      <c r="F10" s="148" t="str">
        <f>'[13]T9'!$J54</f>
        <v>Kampung Wai Kuala Perlis</v>
      </c>
    </row>
    <row r="11" ht="60" customHeight="1" spans="1:6">
      <c r="A11" s="144"/>
      <c r="B11" s="1"/>
      <c r="C11" s="148" t="str">
        <f>'[13]T9'!$J25</f>
        <v>Menara Pandang Wang Kelian</v>
      </c>
      <c r="D11" s="148" t="str">
        <f>'[13]T9'!$J35</f>
        <v>Medan Ikan Bakar Kuala Perlis</v>
      </c>
      <c r="E11" s="148" t="str">
        <f>'[13]T9'!$J45</f>
        <v>Menara Pandang Wang Kelian</v>
      </c>
      <c r="F11" s="148" t="str">
        <f>'[13]T9'!$J55</f>
        <v>Wang Kelian View Point</v>
      </c>
    </row>
    <row r="12" ht="6" customHeight="1" spans="1:6">
      <c r="A12" s="144"/>
      <c r="B12" s="1"/>
      <c r="C12" s="149"/>
      <c r="D12" s="150"/>
      <c r="E12" s="149"/>
      <c r="F12" s="33"/>
    </row>
    <row r="13" ht="15" customHeight="1" spans="1:6">
      <c r="A13" s="144"/>
      <c r="B13" s="1"/>
      <c r="C13" s="1"/>
      <c r="D13" s="1"/>
      <c r="E13" s="1"/>
      <c r="F13" s="1"/>
    </row>
    <row r="14" ht="15" customHeight="1" spans="1:6">
      <c r="A14" s="144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3"/>
  <sheetViews>
    <sheetView showGridLines="0" zoomScale="80" zoomScaleNormal="80" zoomScaleSheetLayoutView="115" workbookViewId="0">
      <selection activeCell="C1" sqref="C1:T1"/>
    </sheetView>
  </sheetViews>
  <sheetFormatPr defaultColWidth="9" defaultRowHeight="14.4"/>
  <cols>
    <col min="1" max="1" width="5.44444444444444" style="2" customWidth="1"/>
    <col min="2" max="2" width="2.11111111111111" style="2" customWidth="1"/>
    <col min="3" max="3" width="15.6666666666667" style="2" customWidth="1"/>
    <col min="4" max="20" width="8.66666666666667" style="2" customWidth="1"/>
    <col min="21" max="21" width="9.66666666666667" style="2"/>
    <col min="22" max="22" width="9" style="2"/>
    <col min="23" max="23" width="17.8888888888889" style="2" customWidth="1"/>
    <col min="24" max="24" width="9" style="2"/>
    <col min="25" max="25" width="9.66666666666667" style="2"/>
    <col min="26" max="26" width="12.8888888888889" style="2"/>
    <col min="27" max="16384" width="9" style="2"/>
  </cols>
  <sheetData>
    <row r="1" ht="15" customHeight="1" spans="1:25">
      <c r="A1" s="1"/>
      <c r="B1" s="111"/>
      <c r="C1" s="93" t="str">
        <f>Tajuk!B19</f>
        <v>Jadual 10: Pelancong mengikut negeri dikunjungi, 2025</v>
      </c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</row>
    <row r="2" ht="15" customHeight="1" spans="1:25">
      <c r="A2" s="1"/>
      <c r="C2" s="112" t="str">
        <f>Tajuk!B20</f>
        <v>Table 10: Tourists by state visited, 2025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</row>
    <row r="3" ht="6" customHeight="1" spans="1:25">
      <c r="A3" s="1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</row>
    <row r="4" ht="18" customHeight="1" spans="1:25">
      <c r="A4" s="114">
        <v>35</v>
      </c>
      <c r="B4" s="115"/>
      <c r="C4" s="116" t="s">
        <v>80</v>
      </c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</row>
    <row r="5" ht="18" customHeight="1" spans="1:25">
      <c r="A5" s="114"/>
      <c r="B5" s="115"/>
      <c r="C5" s="117" t="s">
        <v>137</v>
      </c>
      <c r="D5" s="118" t="s">
        <v>138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V5" s="119"/>
    </row>
    <row r="6" ht="6" customHeight="1" spans="1:25">
      <c r="A6" s="114"/>
      <c r="B6" s="115"/>
      <c r="C6" s="120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ht="82.5" customHeight="1" spans="1:25">
      <c r="A7" s="114"/>
      <c r="B7" s="115"/>
      <c r="C7" s="121"/>
      <c r="D7" s="122" t="s">
        <v>139</v>
      </c>
      <c r="E7" s="123" t="s">
        <v>54</v>
      </c>
      <c r="F7" s="123" t="s">
        <v>55</v>
      </c>
      <c r="G7" s="123" t="s">
        <v>56</v>
      </c>
      <c r="H7" s="123" t="s">
        <v>57</v>
      </c>
      <c r="I7" s="123" t="s">
        <v>58</v>
      </c>
      <c r="J7" s="123" t="s">
        <v>59</v>
      </c>
      <c r="K7" s="123" t="s">
        <v>60</v>
      </c>
      <c r="L7" s="123" t="s">
        <v>61</v>
      </c>
      <c r="M7" s="123" t="s">
        <v>2</v>
      </c>
      <c r="N7" s="123" t="s">
        <v>62</v>
      </c>
      <c r="O7" s="123" t="s">
        <v>63</v>
      </c>
      <c r="P7" s="123" t="s">
        <v>64</v>
      </c>
      <c r="Q7" s="123" t="s">
        <v>65</v>
      </c>
      <c r="R7" s="123" t="s">
        <v>66</v>
      </c>
      <c r="S7" s="123" t="s">
        <v>67</v>
      </c>
      <c r="T7" s="123" t="s">
        <v>68</v>
      </c>
    </row>
    <row r="8" ht="27" customHeight="1" spans="1:25">
      <c r="A8" s="114"/>
      <c r="B8" s="115"/>
      <c r="C8" s="124" t="s">
        <v>139</v>
      </c>
      <c r="D8" s="125">
        <v>106525.305530282</v>
      </c>
      <c r="E8" s="125">
        <v>9821.9</v>
      </c>
      <c r="F8" s="125">
        <v>7124.845</v>
      </c>
      <c r="G8" s="125">
        <v>6512.13</v>
      </c>
      <c r="H8" s="125">
        <v>7178.69053028202</v>
      </c>
      <c r="I8" s="125">
        <v>6547.023</v>
      </c>
      <c r="J8" s="125">
        <v>11045.98</v>
      </c>
      <c r="K8" s="125">
        <v>5629.544</v>
      </c>
      <c r="L8" s="125">
        <v>10413.82</v>
      </c>
      <c r="M8" s="125">
        <v>1474.936</v>
      </c>
      <c r="N8" s="125">
        <v>10595.556</v>
      </c>
      <c r="O8" s="125">
        <v>5239.642</v>
      </c>
      <c r="P8" s="125">
        <v>7359.889</v>
      </c>
      <c r="Q8" s="125">
        <v>6329.894</v>
      </c>
      <c r="R8" s="125">
        <v>10078.573</v>
      </c>
      <c r="S8" s="125">
        <v>266.785</v>
      </c>
      <c r="T8" s="125">
        <v>906.098</v>
      </c>
      <c r="V8" s="96"/>
      <c r="W8" s="96"/>
      <c r="X8" s="126"/>
      <c r="Y8" s="127"/>
    </row>
    <row r="9" ht="27" customHeight="1" spans="1:25">
      <c r="A9" s="114"/>
      <c r="B9" s="115"/>
      <c r="C9" s="128" t="s">
        <v>54</v>
      </c>
      <c r="D9" s="125">
        <v>11017.07</v>
      </c>
      <c r="E9" s="129">
        <v>3422.224</v>
      </c>
      <c r="F9" s="129">
        <v>740.539</v>
      </c>
      <c r="G9" s="129">
        <v>576.493</v>
      </c>
      <c r="H9" s="129">
        <v>1344.569</v>
      </c>
      <c r="I9" s="129">
        <v>1671.469</v>
      </c>
      <c r="J9" s="129">
        <v>981.156</v>
      </c>
      <c r="K9" s="129">
        <v>106.412</v>
      </c>
      <c r="L9" s="129">
        <v>173.172</v>
      </c>
      <c r="M9" s="129">
        <v>50.178</v>
      </c>
      <c r="N9" s="129">
        <v>629.355</v>
      </c>
      <c r="O9" s="129">
        <v>286.182</v>
      </c>
      <c r="P9" s="129">
        <v>112.834</v>
      </c>
      <c r="Q9" s="129">
        <v>348.024</v>
      </c>
      <c r="R9" s="129">
        <v>494.101</v>
      </c>
      <c r="S9" s="129">
        <v>3.471</v>
      </c>
      <c r="T9" s="129">
        <v>76.891</v>
      </c>
      <c r="V9" s="96"/>
      <c r="W9" s="96"/>
      <c r="X9" s="126"/>
      <c r="Y9" s="127"/>
    </row>
    <row r="10" ht="27" customHeight="1" spans="1:25">
      <c r="A10" s="114"/>
      <c r="B10" s="115"/>
      <c r="C10" s="128" t="s">
        <v>55</v>
      </c>
      <c r="D10" s="125">
        <v>5289.105</v>
      </c>
      <c r="E10" s="129">
        <v>114.898</v>
      </c>
      <c r="F10" s="129">
        <v>1234.006</v>
      </c>
      <c r="G10" s="129">
        <v>285.999</v>
      </c>
      <c r="H10" s="129">
        <v>259.897</v>
      </c>
      <c r="I10" s="129">
        <v>112.4</v>
      </c>
      <c r="J10" s="129">
        <v>282.067</v>
      </c>
      <c r="K10" s="129">
        <v>431.179</v>
      </c>
      <c r="L10" s="129">
        <v>698.16</v>
      </c>
      <c r="M10" s="129">
        <v>160.158</v>
      </c>
      <c r="N10" s="129">
        <v>329.094</v>
      </c>
      <c r="O10" s="129">
        <v>341.083</v>
      </c>
      <c r="P10" s="129">
        <v>128.284</v>
      </c>
      <c r="Q10" s="129">
        <v>85.125</v>
      </c>
      <c r="R10" s="129">
        <v>734.346</v>
      </c>
      <c r="S10" s="129">
        <v>7.389</v>
      </c>
      <c r="T10" s="129">
        <v>85.02</v>
      </c>
      <c r="V10" s="96"/>
      <c r="W10" s="96"/>
      <c r="X10" s="126"/>
      <c r="Y10" s="127"/>
    </row>
    <row r="11" ht="27" customHeight="1" spans="1:25">
      <c r="A11" s="114"/>
      <c r="B11" s="115"/>
      <c r="C11" s="128" t="s">
        <v>56</v>
      </c>
      <c r="D11" s="125">
        <v>3869.563</v>
      </c>
      <c r="E11" s="129">
        <v>103.148</v>
      </c>
      <c r="F11" s="129">
        <v>101.463</v>
      </c>
      <c r="G11" s="129">
        <v>912.3</v>
      </c>
      <c r="H11" s="129">
        <v>181.902</v>
      </c>
      <c r="I11" s="129">
        <v>66.973</v>
      </c>
      <c r="J11" s="129">
        <v>212.844</v>
      </c>
      <c r="K11" s="129">
        <v>93.324</v>
      </c>
      <c r="L11" s="129">
        <v>132.166</v>
      </c>
      <c r="M11" s="129">
        <v>12.1</v>
      </c>
      <c r="N11" s="129">
        <v>690.727</v>
      </c>
      <c r="O11" s="129">
        <v>752.094</v>
      </c>
      <c r="P11" s="129">
        <v>80.149</v>
      </c>
      <c r="Q11" s="129">
        <v>126.632</v>
      </c>
      <c r="R11" s="129">
        <v>297.176</v>
      </c>
      <c r="S11" s="129">
        <v>2.559</v>
      </c>
      <c r="T11" s="129">
        <v>104.006</v>
      </c>
      <c r="V11" s="96"/>
      <c r="W11" s="96"/>
      <c r="X11" s="126"/>
      <c r="Y11" s="127"/>
    </row>
    <row r="12" ht="27" customHeight="1" spans="1:25">
      <c r="A12" s="114"/>
      <c r="B12" s="115"/>
      <c r="C12" s="128" t="s">
        <v>57</v>
      </c>
      <c r="D12" s="125">
        <v>3457.435</v>
      </c>
      <c r="E12" s="129">
        <v>685.258</v>
      </c>
      <c r="F12" s="129">
        <v>120.369</v>
      </c>
      <c r="G12" s="129">
        <v>59.714</v>
      </c>
      <c r="H12" s="129">
        <v>149.224</v>
      </c>
      <c r="I12" s="129">
        <v>280.267</v>
      </c>
      <c r="J12" s="129">
        <v>469.616</v>
      </c>
      <c r="K12" s="129">
        <v>99.282</v>
      </c>
      <c r="L12" s="129">
        <v>288.792</v>
      </c>
      <c r="M12" s="129">
        <v>57.367</v>
      </c>
      <c r="N12" s="129">
        <v>348.921</v>
      </c>
      <c r="O12" s="129">
        <v>286.532</v>
      </c>
      <c r="P12" s="129">
        <v>7.035</v>
      </c>
      <c r="Q12" s="129">
        <v>55.149</v>
      </c>
      <c r="R12" s="129">
        <v>463.246</v>
      </c>
      <c r="S12" s="129">
        <v>26.775</v>
      </c>
      <c r="T12" s="129">
        <v>59.888</v>
      </c>
      <c r="V12" s="96"/>
      <c r="W12" s="96"/>
      <c r="X12" s="126"/>
      <c r="Y12" s="127"/>
    </row>
    <row r="13" ht="27" customHeight="1" spans="1:25">
      <c r="A13" s="114"/>
      <c r="B13" s="115"/>
      <c r="C13" s="128" t="s">
        <v>58</v>
      </c>
      <c r="D13" s="125">
        <v>3783.974</v>
      </c>
      <c r="E13" s="129">
        <v>467.594</v>
      </c>
      <c r="F13" s="129">
        <v>112.049</v>
      </c>
      <c r="G13" s="129">
        <v>203.938</v>
      </c>
      <c r="H13" s="129">
        <v>377.289</v>
      </c>
      <c r="I13" s="129">
        <v>460.839</v>
      </c>
      <c r="J13" s="129">
        <v>444.428</v>
      </c>
      <c r="K13" s="129">
        <v>65.536</v>
      </c>
      <c r="L13" s="129">
        <v>275.019</v>
      </c>
      <c r="M13" s="129">
        <v>18.698</v>
      </c>
      <c r="N13" s="129">
        <v>448.828</v>
      </c>
      <c r="O13" s="129">
        <v>190.562</v>
      </c>
      <c r="P13" s="129">
        <v>78.882</v>
      </c>
      <c r="Q13" s="129">
        <v>87.136</v>
      </c>
      <c r="R13" s="129">
        <v>442.738</v>
      </c>
      <c r="S13" s="129">
        <v>47.15</v>
      </c>
      <c r="T13" s="129">
        <v>63.288</v>
      </c>
    </row>
    <row r="14" ht="27" customHeight="1" spans="1:25">
      <c r="A14" s="114"/>
      <c r="B14" s="115"/>
      <c r="C14" s="128" t="s">
        <v>59</v>
      </c>
      <c r="D14" s="125">
        <v>8438.591</v>
      </c>
      <c r="E14" s="129">
        <v>585.252</v>
      </c>
      <c r="F14" s="129">
        <v>193.689</v>
      </c>
      <c r="G14" s="129">
        <v>655.129</v>
      </c>
      <c r="H14" s="129">
        <v>305.141</v>
      </c>
      <c r="I14" s="129">
        <v>287.89</v>
      </c>
      <c r="J14" s="129">
        <v>2599.801</v>
      </c>
      <c r="K14" s="129">
        <v>241.717</v>
      </c>
      <c r="L14" s="129">
        <v>701.131</v>
      </c>
      <c r="M14" s="129">
        <v>60.726</v>
      </c>
      <c r="N14" s="129">
        <v>930.401</v>
      </c>
      <c r="O14" s="129">
        <v>903.281</v>
      </c>
      <c r="P14" s="129">
        <v>7.808</v>
      </c>
      <c r="Q14" s="129">
        <v>63.906</v>
      </c>
      <c r="R14" s="129">
        <v>824.776</v>
      </c>
      <c r="S14" s="129">
        <v>22.741</v>
      </c>
      <c r="T14" s="129">
        <v>55.202</v>
      </c>
    </row>
    <row r="15" ht="27" customHeight="1" spans="1:25">
      <c r="A15" s="114"/>
      <c r="B15" s="115"/>
      <c r="C15" s="128" t="s">
        <v>60</v>
      </c>
      <c r="D15" s="125">
        <v>5241.365</v>
      </c>
      <c r="E15" s="129">
        <v>123.784</v>
      </c>
      <c r="F15" s="129">
        <v>952.233</v>
      </c>
      <c r="G15" s="129">
        <v>227.934</v>
      </c>
      <c r="H15" s="129">
        <v>74.643</v>
      </c>
      <c r="I15" s="129">
        <v>56.642</v>
      </c>
      <c r="J15" s="129">
        <v>537.067</v>
      </c>
      <c r="K15" s="129">
        <v>323.086</v>
      </c>
      <c r="L15" s="129">
        <v>893.223</v>
      </c>
      <c r="M15" s="129">
        <v>285.678</v>
      </c>
      <c r="N15" s="129">
        <v>459.411</v>
      </c>
      <c r="O15" s="129">
        <v>140.537</v>
      </c>
      <c r="P15" s="129">
        <v>243.929</v>
      </c>
      <c r="Q15" s="129">
        <v>134.36</v>
      </c>
      <c r="R15" s="129">
        <v>746.837</v>
      </c>
      <c r="S15" s="129">
        <v>1.795</v>
      </c>
      <c r="T15" s="129">
        <v>40.206</v>
      </c>
    </row>
    <row r="16" ht="27" customHeight="1" spans="1:25">
      <c r="A16" s="114"/>
      <c r="B16" s="115"/>
      <c r="C16" s="128" t="s">
        <v>61</v>
      </c>
      <c r="D16" s="125">
        <v>9810.168</v>
      </c>
      <c r="E16" s="129">
        <v>492.392</v>
      </c>
      <c r="F16" s="129">
        <v>622.506</v>
      </c>
      <c r="G16" s="129">
        <v>473.886</v>
      </c>
      <c r="H16" s="129">
        <v>448.906</v>
      </c>
      <c r="I16" s="129">
        <v>266.798</v>
      </c>
      <c r="J16" s="129">
        <v>648.824</v>
      </c>
      <c r="K16" s="129">
        <v>836.185</v>
      </c>
      <c r="L16" s="129">
        <v>1591.314</v>
      </c>
      <c r="M16" s="129">
        <v>190.379</v>
      </c>
      <c r="N16" s="129">
        <v>1716.467</v>
      </c>
      <c r="O16" s="129">
        <v>361.679</v>
      </c>
      <c r="P16" s="129">
        <v>144.916</v>
      </c>
      <c r="Q16" s="129">
        <v>143.923</v>
      </c>
      <c r="R16" s="129">
        <v>1771.244</v>
      </c>
      <c r="S16" s="129">
        <v>3.518</v>
      </c>
      <c r="T16" s="129">
        <v>97.231</v>
      </c>
    </row>
    <row r="17" ht="27" customHeight="1" spans="1:26">
      <c r="A17" s="114"/>
      <c r="B17" s="115"/>
      <c r="C17" s="128" t="s">
        <v>2</v>
      </c>
      <c r="D17" s="125">
        <v>1261.103</v>
      </c>
      <c r="E17" s="129">
        <v>40.988</v>
      </c>
      <c r="F17" s="129">
        <v>279.678</v>
      </c>
      <c r="G17" s="129">
        <v>85.72</v>
      </c>
      <c r="H17" s="129">
        <v>92.885</v>
      </c>
      <c r="I17" s="129">
        <v>64.994</v>
      </c>
      <c r="J17" s="129">
        <v>78.512</v>
      </c>
      <c r="K17" s="129">
        <v>177.172</v>
      </c>
      <c r="L17" s="129">
        <v>196.268</v>
      </c>
      <c r="M17" s="129">
        <v>25.916</v>
      </c>
      <c r="N17" s="129">
        <v>82.253</v>
      </c>
      <c r="O17" s="129">
        <v>33.064</v>
      </c>
      <c r="P17" s="129">
        <v>4.048</v>
      </c>
      <c r="Q17" s="129">
        <v>1.2</v>
      </c>
      <c r="R17" s="129">
        <v>79.659</v>
      </c>
      <c r="S17" s="129">
        <v>6.994</v>
      </c>
      <c r="T17" s="129">
        <v>11.752</v>
      </c>
    </row>
    <row r="18" ht="27" customHeight="1" spans="1:26">
      <c r="A18" s="114"/>
      <c r="B18" s="115"/>
      <c r="C18" s="128" t="s">
        <v>62</v>
      </c>
      <c r="D18" s="125">
        <v>24147.397530282</v>
      </c>
      <c r="E18" s="129">
        <v>1995.977</v>
      </c>
      <c r="F18" s="129">
        <v>1676.138</v>
      </c>
      <c r="G18" s="129">
        <v>1506.201</v>
      </c>
      <c r="H18" s="129">
        <v>2725.941</v>
      </c>
      <c r="I18" s="129">
        <v>1980.107</v>
      </c>
      <c r="J18" s="129">
        <v>2517.56353028202</v>
      </c>
      <c r="K18" s="129">
        <v>2362.7</v>
      </c>
      <c r="L18" s="129">
        <v>3116.563</v>
      </c>
      <c r="M18" s="129">
        <v>480.281</v>
      </c>
      <c r="N18" s="129">
        <v>2428.953</v>
      </c>
      <c r="O18" s="129">
        <v>762.677</v>
      </c>
      <c r="P18" s="129">
        <v>531.665</v>
      </c>
      <c r="Q18" s="129">
        <v>125.515</v>
      </c>
      <c r="R18" s="129">
        <v>1819.35</v>
      </c>
      <c r="S18" s="129">
        <v>46.372</v>
      </c>
      <c r="T18" s="129">
        <v>71.394</v>
      </c>
    </row>
    <row r="19" ht="27" customHeight="1" spans="1:26">
      <c r="A19" s="114"/>
      <c r="B19" s="115"/>
      <c r="C19" s="128" t="s">
        <v>63</v>
      </c>
      <c r="D19" s="125">
        <v>3105.591</v>
      </c>
      <c r="E19" s="129">
        <v>106.704</v>
      </c>
      <c r="F19" s="129">
        <v>83.693</v>
      </c>
      <c r="G19" s="129">
        <v>520.817</v>
      </c>
      <c r="H19" s="129">
        <v>115.592</v>
      </c>
      <c r="I19" s="129">
        <v>105.86</v>
      </c>
      <c r="J19" s="129">
        <v>373.96</v>
      </c>
      <c r="K19" s="129">
        <v>126.461</v>
      </c>
      <c r="L19" s="129">
        <v>151.705</v>
      </c>
      <c r="M19" s="129">
        <v>5.675</v>
      </c>
      <c r="N19" s="129">
        <v>248.322</v>
      </c>
      <c r="O19" s="129">
        <v>687.421</v>
      </c>
      <c r="P19" s="129">
        <v>6.117</v>
      </c>
      <c r="Q19" s="129">
        <v>64.251</v>
      </c>
      <c r="R19" s="129">
        <v>419.675</v>
      </c>
      <c r="S19" s="129">
        <v>4.999</v>
      </c>
      <c r="T19" s="129">
        <v>84.339</v>
      </c>
    </row>
    <row r="20" ht="26.25" customHeight="1" spans="1:26">
      <c r="A20" s="114"/>
      <c r="B20" s="115"/>
      <c r="C20" s="128" t="s">
        <v>64</v>
      </c>
      <c r="D20" s="125">
        <v>8898.082</v>
      </c>
      <c r="E20" s="129">
        <v>73.52</v>
      </c>
      <c r="F20" s="129">
        <v>315.743</v>
      </c>
      <c r="G20" s="129">
        <v>296.511</v>
      </c>
      <c r="H20" s="129">
        <v>50.586</v>
      </c>
      <c r="I20" s="129">
        <v>95.545</v>
      </c>
      <c r="J20" s="129">
        <v>212.016</v>
      </c>
      <c r="K20" s="129">
        <v>64.458</v>
      </c>
      <c r="L20" s="129">
        <v>110.004</v>
      </c>
      <c r="M20" s="129">
        <v>14.672</v>
      </c>
      <c r="N20" s="129">
        <v>574.081</v>
      </c>
      <c r="O20" s="129">
        <v>83.995</v>
      </c>
      <c r="P20" s="129">
        <v>5536.041</v>
      </c>
      <c r="Q20" s="129">
        <v>561.921</v>
      </c>
      <c r="R20" s="129">
        <v>783.67</v>
      </c>
      <c r="S20" s="129">
        <v>71.595</v>
      </c>
      <c r="T20" s="129">
        <v>53.724</v>
      </c>
    </row>
    <row r="21" ht="27" customHeight="1" spans="1:26">
      <c r="A21" s="114"/>
      <c r="B21" s="115"/>
      <c r="C21" s="128" t="s">
        <v>65</v>
      </c>
      <c r="D21" s="125">
        <v>5665.548</v>
      </c>
      <c r="E21" s="129">
        <v>30.223</v>
      </c>
      <c r="F21" s="129">
        <v>25.911</v>
      </c>
      <c r="G21" s="129">
        <v>89.927</v>
      </c>
      <c r="H21" s="129">
        <v>96.988</v>
      </c>
      <c r="I21" s="129">
        <v>51.548</v>
      </c>
      <c r="J21" s="129">
        <v>8.759</v>
      </c>
      <c r="K21" s="129">
        <v>138.204</v>
      </c>
      <c r="L21" s="129">
        <v>18.356</v>
      </c>
      <c r="M21" s="129">
        <v>4.4</v>
      </c>
      <c r="N21" s="129">
        <v>322.421</v>
      </c>
      <c r="O21" s="129">
        <v>3.502</v>
      </c>
      <c r="P21" s="129">
        <v>149.61</v>
      </c>
      <c r="Q21" s="129">
        <v>4128.139</v>
      </c>
      <c r="R21" s="129">
        <v>575.284</v>
      </c>
      <c r="S21" s="129">
        <v>9.609</v>
      </c>
      <c r="T21" s="129">
        <v>12.667</v>
      </c>
    </row>
    <row r="22" ht="27" customHeight="1" spans="1:26">
      <c r="A22" s="114"/>
      <c r="B22" s="115"/>
      <c r="C22" s="128" t="s">
        <v>66</v>
      </c>
      <c r="D22" s="125">
        <v>11689.987</v>
      </c>
      <c r="E22" s="129">
        <v>1469.998</v>
      </c>
      <c r="F22" s="129">
        <v>619.59</v>
      </c>
      <c r="G22" s="129">
        <v>524.898</v>
      </c>
      <c r="H22" s="129">
        <v>915.96753028202</v>
      </c>
      <c r="I22" s="129">
        <v>937.425</v>
      </c>
      <c r="J22" s="129">
        <v>1635.11146971798</v>
      </c>
      <c r="K22" s="129">
        <v>548.438</v>
      </c>
      <c r="L22" s="129">
        <v>2017.802</v>
      </c>
      <c r="M22" s="129">
        <v>97.926</v>
      </c>
      <c r="N22" s="129">
        <v>1335.438</v>
      </c>
      <c r="O22" s="129">
        <v>387.107</v>
      </c>
      <c r="P22" s="129">
        <v>138.292</v>
      </c>
      <c r="Q22" s="129">
        <v>390.144</v>
      </c>
      <c r="R22" s="129">
        <v>578.909</v>
      </c>
      <c r="S22" s="129">
        <v>6.772</v>
      </c>
      <c r="T22" s="129">
        <v>86.169</v>
      </c>
    </row>
    <row r="23" ht="27" customHeight="1" spans="1:26">
      <c r="A23" s="114"/>
      <c r="B23" s="115"/>
      <c r="C23" s="128" t="s">
        <v>67</v>
      </c>
      <c r="D23" s="125">
        <v>379.21</v>
      </c>
      <c r="E23" s="129">
        <v>19.247</v>
      </c>
      <c r="F23" s="129">
        <v>12.186</v>
      </c>
      <c r="G23" s="129">
        <v>21.278</v>
      </c>
      <c r="H23" s="129">
        <v>20.01</v>
      </c>
      <c r="I23" s="129">
        <v>30.209</v>
      </c>
      <c r="J23" s="129">
        <v>5.708</v>
      </c>
      <c r="K23" s="129">
        <v>10.798</v>
      </c>
      <c r="L23" s="129">
        <v>3.732</v>
      </c>
      <c r="M23" s="129">
        <v>5.148</v>
      </c>
      <c r="N23" s="129">
        <v>21.329</v>
      </c>
      <c r="O23" s="129">
        <v>5.35</v>
      </c>
      <c r="P23" s="129">
        <v>188.746</v>
      </c>
      <c r="Q23" s="129">
        <v>11.257</v>
      </c>
      <c r="R23" s="129">
        <v>19.928</v>
      </c>
      <c r="S23" s="129">
        <v>2.754</v>
      </c>
      <c r="T23" s="129">
        <v>1.53</v>
      </c>
    </row>
    <row r="24" ht="27" customHeight="1" spans="1:26">
      <c r="A24" s="114"/>
      <c r="B24" s="115"/>
      <c r="C24" s="130" t="s">
        <v>68</v>
      </c>
      <c r="D24" s="131">
        <v>471.116</v>
      </c>
      <c r="E24" s="132">
        <v>90.693</v>
      </c>
      <c r="F24" s="132">
        <v>35.052</v>
      </c>
      <c r="G24" s="132">
        <v>71.385</v>
      </c>
      <c r="H24" s="132">
        <v>19.15</v>
      </c>
      <c r="I24" s="132">
        <v>78.057</v>
      </c>
      <c r="J24" s="132">
        <v>38.547</v>
      </c>
      <c r="K24" s="132">
        <v>4.592</v>
      </c>
      <c r="L24" s="132">
        <v>46.413</v>
      </c>
      <c r="M24" s="132">
        <v>5.634</v>
      </c>
      <c r="N24" s="132">
        <v>29.555</v>
      </c>
      <c r="O24" s="132">
        <v>14.576</v>
      </c>
      <c r="P24" s="132">
        <v>1.533</v>
      </c>
      <c r="Q24" s="132">
        <v>3.212</v>
      </c>
      <c r="R24" s="132">
        <v>27.634</v>
      </c>
      <c r="S24" s="132">
        <v>2.292</v>
      </c>
      <c r="T24" s="132">
        <v>2.791</v>
      </c>
    </row>
    <row r="25" ht="20.1" customHeight="1" spans="1:26">
      <c r="A25" s="133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</row>
    <row r="26" s="96" customFormat="1" ht="12" customHeight="1" spans="1:26">
      <c r="C26" s="135">
        <f>Master!G1</f>
        <v>9</v>
      </c>
      <c r="D26" s="136"/>
      <c r="E26" s="137">
        <v>1</v>
      </c>
      <c r="F26" s="137">
        <v>2</v>
      </c>
      <c r="G26" s="137">
        <v>3</v>
      </c>
      <c r="H26" s="137">
        <v>4</v>
      </c>
      <c r="I26" s="137">
        <v>5</v>
      </c>
      <c r="J26" s="137">
        <v>6</v>
      </c>
      <c r="K26" s="137">
        <v>7</v>
      </c>
      <c r="L26" s="137">
        <v>8</v>
      </c>
      <c r="M26" s="137">
        <v>9</v>
      </c>
      <c r="N26" s="137">
        <v>10</v>
      </c>
      <c r="O26" s="137">
        <v>11</v>
      </c>
      <c r="P26" s="137">
        <v>12</v>
      </c>
      <c r="Q26" s="137">
        <v>13</v>
      </c>
      <c r="R26" s="137">
        <v>14</v>
      </c>
      <c r="S26" s="137">
        <v>15</v>
      </c>
      <c r="T26" s="137">
        <v>16</v>
      </c>
      <c r="U26" s="136"/>
    </row>
    <row r="27" s="96" customFormat="1" ht="12" customHeight="1" spans="1:26">
      <c r="C27" s="135" t="str">
        <f t="shared" ref="C27:C42" si="0">IF(OR(E27&lt;&gt;"",F27&lt;&gt;"",G27&lt;&gt;"",H27&lt;&gt;"",I27&lt;&gt;"",J27&lt;&gt;"",K27&lt;&gt;"",L27&lt;&gt;"",M27&lt;&gt;"",N27&lt;&gt;"",O27&lt;&gt;"",P27&lt;&gt;"",Q27&lt;&gt;"",R27&lt;&gt;"",S27&lt;&gt;"",T27&lt;&gt;""),C9,"")</f>
        <v/>
      </c>
      <c r="D27" s="138" t="str">
        <f t="shared" ref="D27:D42" si="1">U27</f>
        <v/>
      </c>
      <c r="E27" s="137" t="str">
        <f t="shared" ref="E27:E42" si="2">IF(AND($C$26=E$26,RANK(E9,$E$9:$E$24)&lt;6),RANK(E9,$E$9:$E$24),"")</f>
        <v/>
      </c>
      <c r="F27" s="137" t="str">
        <f t="shared" ref="F27:F42" si="3">IF(AND($C$26=F$26,RANK(F9,$F$9:$F$24)&lt;6),RANK(F9,$F$9:$F$24),"")</f>
        <v/>
      </c>
      <c r="G27" s="137" t="str">
        <f t="shared" ref="G27:G42" si="4">IF(AND($C$26=G$26,RANK(G9,$G$9:$G$24)&lt;6),RANK(G9,$G$9:$G$24),"")</f>
        <v/>
      </c>
      <c r="H27" s="137" t="str">
        <f t="shared" ref="H27:H42" si="5">IF(AND($C$26=H$26,RANK(H9,$H$9:$H$24)&lt;6),RANK(H9,$H$9:$H$24),"")</f>
        <v/>
      </c>
      <c r="I27" s="137" t="str">
        <f t="shared" ref="I27:I42" si="6">IF(AND($C$26=I$26,RANK(I9,$I$9:$I$24)&lt;6),RANK(I9,$I$9:$I$24),"")</f>
        <v/>
      </c>
      <c r="J27" s="137" t="str">
        <f t="shared" ref="J27:J42" si="7">IF(AND($C$26=J$26,RANK(J9,$J$9:$J$24)&lt;6),RANK(J9,$J$9:$J$24),"")</f>
        <v/>
      </c>
      <c r="K27" s="137" t="str">
        <f t="shared" ref="K27:K42" si="8">IF(AND($C$26=K$26,RANK(K9,$K$9:$K$24)&lt;6),RANK(K9,$K$9:$K$24),"")</f>
        <v/>
      </c>
      <c r="L27" s="137" t="str">
        <f t="shared" ref="L27:L42" si="9">IF(AND($C$26=L$26,RANK(L9,$L$9:$L$24)&lt;6),RANK(L9,$L$9:$L$24),"")</f>
        <v/>
      </c>
      <c r="M27" s="137" t="str">
        <f t="shared" ref="M27:M42" si="10">IF(AND($C$26=M$26,RANK(M9,$M$9:$M$24)&lt;6),RANK(M9,$M$9:$M$24),"")</f>
        <v/>
      </c>
      <c r="N27" s="137" t="str">
        <f t="shared" ref="N27:N42" si="11">IF(AND($C$26=N$26,RANK(N9,$N$9:$N$24)&lt;6),RANK(N9,$N$9:$N$24),"")</f>
        <v/>
      </c>
      <c r="O27" s="137" t="str">
        <f t="shared" ref="O27:O42" si="12">IF(AND($C$26=O$26,RANK(O9,$O$9:$O$24)&lt;6),RANK(O9,$O$9:$O$24),"")</f>
        <v/>
      </c>
      <c r="P27" s="137" t="str">
        <f t="shared" ref="P27:P42" si="13">IF(AND($C$26=P$26,RANK(P9,$P$9:$P$24)&lt;6),RANK(P9,$P$9:$P$24),"")</f>
        <v/>
      </c>
      <c r="Q27" s="137" t="str">
        <f t="shared" ref="Q27:Q42" si="14">IF(AND($C$26=Q$26,RANK(Q9,$Q$9:$Q$24)&lt;6),RANK(Q9,$Q$9:$Q$24),"")</f>
        <v/>
      </c>
      <c r="R27" s="137" t="str">
        <f t="shared" ref="R27:R42" si="15">IF(AND($C$26=R$26,RANK(R9,$R$9:$R$24)&lt;6),RANK(R9,$R$9:$R$24),"")</f>
        <v/>
      </c>
      <c r="S27" s="137" t="str">
        <f t="shared" ref="S27:S42" si="16">IF(AND($C$26=S$26,RANK(S9,$S$9:$S$24)&lt;6),RANK(S9,$S$9:$S$24),"")</f>
        <v/>
      </c>
      <c r="T27" s="137" t="str">
        <f t="shared" ref="T27:T42" si="17">IF(AND($C$26=T$26,RANK(T9,$T$9:$T$24)&lt;6),RANK(T9,$T$9:$T$24),"")</f>
        <v/>
      </c>
      <c r="U27" s="138" t="str">
        <f t="shared" ref="U27:U42" si="18">IFERROR(VLOOKUP($C27,$C$9:$T$24,C$26+2,0),"")</f>
        <v/>
      </c>
      <c r="V27" s="138" t="str">
        <f t="shared" ref="V27:V42" si="19">IF(C27&lt;&gt;"",U27/$E$8*100,"")</f>
        <v/>
      </c>
      <c r="Z27" s="139"/>
    </row>
    <row r="28" s="96" customFormat="1" ht="12" customHeight="1" spans="1:26">
      <c r="C28" s="135" t="str">
        <f t="shared" si="0"/>
        <v>Kedah</v>
      </c>
      <c r="D28" s="138">
        <f t="shared" si="1"/>
        <v>160.158</v>
      </c>
      <c r="E28" s="137" t="str">
        <f t="shared" si="2"/>
        <v/>
      </c>
      <c r="F28" s="137" t="str">
        <f t="shared" si="3"/>
        <v/>
      </c>
      <c r="G28" s="137" t="str">
        <f t="shared" si="4"/>
        <v/>
      </c>
      <c r="H28" s="137" t="str">
        <f t="shared" si="5"/>
        <v/>
      </c>
      <c r="I28" s="137" t="str">
        <f t="shared" si="6"/>
        <v/>
      </c>
      <c r="J28" s="137" t="str">
        <f t="shared" si="7"/>
        <v/>
      </c>
      <c r="K28" s="137" t="str">
        <f t="shared" si="8"/>
        <v/>
      </c>
      <c r="L28" s="137" t="str">
        <f t="shared" si="9"/>
        <v/>
      </c>
      <c r="M28" s="137">
        <f t="shared" si="10"/>
        <v>4</v>
      </c>
      <c r="N28" s="137" t="str">
        <f t="shared" si="11"/>
        <v/>
      </c>
      <c r="O28" s="137" t="str">
        <f t="shared" si="12"/>
        <v/>
      </c>
      <c r="P28" s="137" t="str">
        <f t="shared" si="13"/>
        <v/>
      </c>
      <c r="Q28" s="137" t="str">
        <f t="shared" si="14"/>
        <v/>
      </c>
      <c r="R28" s="137" t="str">
        <f t="shared" si="15"/>
        <v/>
      </c>
      <c r="S28" s="137" t="str">
        <f t="shared" si="16"/>
        <v/>
      </c>
      <c r="T28" s="137" t="str">
        <f t="shared" si="17"/>
        <v/>
      </c>
      <c r="U28" s="138">
        <f t="shared" si="18"/>
        <v>160.158</v>
      </c>
      <c r="V28" s="138">
        <f t="shared" si="19"/>
        <v>1.63062136653804</v>
      </c>
      <c r="Z28" s="139"/>
    </row>
    <row r="29" s="96" customFormat="1" ht="12" customHeight="1" spans="1:26">
      <c r="C29" s="135" t="str">
        <f t="shared" si="0"/>
        <v/>
      </c>
      <c r="D29" s="138" t="str">
        <f t="shared" si="1"/>
        <v/>
      </c>
      <c r="E29" s="137" t="str">
        <f t="shared" si="2"/>
        <v/>
      </c>
      <c r="F29" s="137" t="str">
        <f t="shared" si="3"/>
        <v/>
      </c>
      <c r="G29" s="137" t="str">
        <f t="shared" si="4"/>
        <v/>
      </c>
      <c r="H29" s="137" t="str">
        <f t="shared" si="5"/>
        <v/>
      </c>
      <c r="I29" s="137" t="str">
        <f t="shared" si="6"/>
        <v/>
      </c>
      <c r="J29" s="137" t="str">
        <f t="shared" si="7"/>
        <v/>
      </c>
      <c r="K29" s="137" t="str">
        <f t="shared" si="8"/>
        <v/>
      </c>
      <c r="L29" s="137" t="str">
        <f t="shared" si="9"/>
        <v/>
      </c>
      <c r="M29" s="137" t="str">
        <f t="shared" si="10"/>
        <v/>
      </c>
      <c r="N29" s="137" t="str">
        <f t="shared" si="11"/>
        <v/>
      </c>
      <c r="O29" s="137" t="str">
        <f t="shared" si="12"/>
        <v/>
      </c>
      <c r="P29" s="137" t="str">
        <f t="shared" si="13"/>
        <v/>
      </c>
      <c r="Q29" s="137" t="str">
        <f t="shared" si="14"/>
        <v/>
      </c>
      <c r="R29" s="137" t="str">
        <f t="shared" si="15"/>
        <v/>
      </c>
      <c r="S29" s="137" t="str">
        <f t="shared" si="16"/>
        <v/>
      </c>
      <c r="T29" s="137" t="str">
        <f t="shared" si="17"/>
        <v/>
      </c>
      <c r="U29" s="138" t="str">
        <f t="shared" si="18"/>
        <v/>
      </c>
      <c r="V29" s="138" t="str">
        <f t="shared" si="19"/>
        <v/>
      </c>
      <c r="Z29" s="139"/>
    </row>
    <row r="30" s="96" customFormat="1" ht="12" customHeight="1" spans="1:26">
      <c r="C30" s="135" t="str">
        <f t="shared" si="0"/>
        <v/>
      </c>
      <c r="D30" s="138" t="str">
        <f t="shared" si="1"/>
        <v/>
      </c>
      <c r="E30" s="137" t="str">
        <f t="shared" si="2"/>
        <v/>
      </c>
      <c r="F30" s="137" t="str">
        <f t="shared" si="3"/>
        <v/>
      </c>
      <c r="G30" s="137" t="str">
        <f t="shared" si="4"/>
        <v/>
      </c>
      <c r="H30" s="137" t="str">
        <f t="shared" si="5"/>
        <v/>
      </c>
      <c r="I30" s="137" t="str">
        <f t="shared" si="6"/>
        <v/>
      </c>
      <c r="J30" s="137" t="str">
        <f t="shared" si="7"/>
        <v/>
      </c>
      <c r="K30" s="137" t="str">
        <f t="shared" si="8"/>
        <v/>
      </c>
      <c r="L30" s="137" t="str">
        <f t="shared" si="9"/>
        <v/>
      </c>
      <c r="M30" s="137" t="str">
        <f t="shared" si="10"/>
        <v/>
      </c>
      <c r="N30" s="137" t="str">
        <f t="shared" si="11"/>
        <v/>
      </c>
      <c r="O30" s="137" t="str">
        <f t="shared" si="12"/>
        <v/>
      </c>
      <c r="P30" s="137" t="str">
        <f t="shared" si="13"/>
        <v/>
      </c>
      <c r="Q30" s="137" t="str">
        <f t="shared" si="14"/>
        <v/>
      </c>
      <c r="R30" s="137" t="str">
        <f t="shared" si="15"/>
        <v/>
      </c>
      <c r="S30" s="137" t="str">
        <f t="shared" si="16"/>
        <v/>
      </c>
      <c r="T30" s="137" t="str">
        <f t="shared" si="17"/>
        <v/>
      </c>
      <c r="U30" s="138" t="str">
        <f t="shared" si="18"/>
        <v/>
      </c>
      <c r="V30" s="138" t="str">
        <f t="shared" si="19"/>
        <v/>
      </c>
      <c r="Z30" s="139"/>
    </row>
    <row r="31" s="96" customFormat="1" ht="12" customHeight="1" spans="1:26">
      <c r="C31" s="135" t="str">
        <f t="shared" si="0"/>
        <v/>
      </c>
      <c r="D31" s="138" t="str">
        <f t="shared" si="1"/>
        <v/>
      </c>
      <c r="E31" s="137" t="str">
        <f t="shared" si="2"/>
        <v/>
      </c>
      <c r="F31" s="137" t="str">
        <f t="shared" si="3"/>
        <v/>
      </c>
      <c r="G31" s="137" t="str">
        <f t="shared" si="4"/>
        <v/>
      </c>
      <c r="H31" s="137" t="str">
        <f t="shared" si="5"/>
        <v/>
      </c>
      <c r="I31" s="137" t="str">
        <f t="shared" si="6"/>
        <v/>
      </c>
      <c r="J31" s="137" t="str">
        <f t="shared" si="7"/>
        <v/>
      </c>
      <c r="K31" s="137" t="str">
        <f t="shared" si="8"/>
        <v/>
      </c>
      <c r="L31" s="137" t="str">
        <f t="shared" si="9"/>
        <v/>
      </c>
      <c r="M31" s="137" t="str">
        <f t="shared" si="10"/>
        <v/>
      </c>
      <c r="N31" s="137" t="str">
        <f t="shared" si="11"/>
        <v/>
      </c>
      <c r="O31" s="137" t="str">
        <f t="shared" si="12"/>
        <v/>
      </c>
      <c r="P31" s="137" t="str">
        <f t="shared" si="13"/>
        <v/>
      </c>
      <c r="Q31" s="137" t="str">
        <f t="shared" si="14"/>
        <v/>
      </c>
      <c r="R31" s="137" t="str">
        <f t="shared" si="15"/>
        <v/>
      </c>
      <c r="S31" s="137" t="str">
        <f t="shared" si="16"/>
        <v/>
      </c>
      <c r="T31" s="137" t="str">
        <f t="shared" si="17"/>
        <v/>
      </c>
      <c r="U31" s="138" t="str">
        <f t="shared" si="18"/>
        <v/>
      </c>
      <c r="V31" s="138" t="str">
        <f t="shared" si="19"/>
        <v/>
      </c>
      <c r="Z31" s="139"/>
    </row>
    <row r="32" s="96" customFormat="1" ht="12" customHeight="1" spans="1:26">
      <c r="C32" s="135" t="str">
        <f t="shared" si="0"/>
        <v/>
      </c>
      <c r="D32" s="138" t="str">
        <f t="shared" si="1"/>
        <v/>
      </c>
      <c r="E32" s="137" t="str">
        <f t="shared" si="2"/>
        <v/>
      </c>
      <c r="F32" s="137" t="str">
        <f t="shared" si="3"/>
        <v/>
      </c>
      <c r="G32" s="137" t="str">
        <f t="shared" si="4"/>
        <v/>
      </c>
      <c r="H32" s="137" t="str">
        <f t="shared" si="5"/>
        <v/>
      </c>
      <c r="I32" s="137" t="str">
        <f t="shared" si="6"/>
        <v/>
      </c>
      <c r="J32" s="137" t="str">
        <f t="shared" si="7"/>
        <v/>
      </c>
      <c r="K32" s="137" t="str">
        <f t="shared" si="8"/>
        <v/>
      </c>
      <c r="L32" s="137" t="str">
        <f t="shared" si="9"/>
        <v/>
      </c>
      <c r="M32" s="137" t="str">
        <f t="shared" si="10"/>
        <v/>
      </c>
      <c r="N32" s="137" t="str">
        <f t="shared" si="11"/>
        <v/>
      </c>
      <c r="O32" s="137" t="str">
        <f t="shared" si="12"/>
        <v/>
      </c>
      <c r="P32" s="137" t="str">
        <f t="shared" si="13"/>
        <v/>
      </c>
      <c r="Q32" s="137" t="str">
        <f t="shared" si="14"/>
        <v/>
      </c>
      <c r="R32" s="137" t="str">
        <f t="shared" si="15"/>
        <v/>
      </c>
      <c r="S32" s="137" t="str">
        <f t="shared" si="16"/>
        <v/>
      </c>
      <c r="T32" s="137" t="str">
        <f t="shared" si="17"/>
        <v/>
      </c>
      <c r="U32" s="138" t="str">
        <f t="shared" si="18"/>
        <v/>
      </c>
      <c r="V32" s="138" t="str">
        <f t="shared" si="19"/>
        <v/>
      </c>
    </row>
    <row r="33" s="96" customFormat="1" ht="12" customHeight="1" spans="3:22">
      <c r="C33" s="135" t="str">
        <f t="shared" si="0"/>
        <v>Pulau Pinang</v>
      </c>
      <c r="D33" s="138">
        <f t="shared" si="1"/>
        <v>285.678</v>
      </c>
      <c r="E33" s="137" t="str">
        <f t="shared" si="2"/>
        <v/>
      </c>
      <c r="F33" s="137" t="str">
        <f t="shared" si="3"/>
        <v/>
      </c>
      <c r="G33" s="137" t="str">
        <f t="shared" si="4"/>
        <v/>
      </c>
      <c r="H33" s="137" t="str">
        <f t="shared" si="5"/>
        <v/>
      </c>
      <c r="I33" s="137" t="str">
        <f t="shared" si="6"/>
        <v/>
      </c>
      <c r="J33" s="137" t="str">
        <f t="shared" si="7"/>
        <v/>
      </c>
      <c r="K33" s="137" t="str">
        <f t="shared" si="8"/>
        <v/>
      </c>
      <c r="L33" s="137" t="str">
        <f t="shared" si="9"/>
        <v/>
      </c>
      <c r="M33" s="137">
        <f t="shared" si="10"/>
        <v>2</v>
      </c>
      <c r="N33" s="137" t="str">
        <f t="shared" si="11"/>
        <v/>
      </c>
      <c r="O33" s="137" t="str">
        <f t="shared" si="12"/>
        <v/>
      </c>
      <c r="P33" s="137" t="str">
        <f t="shared" si="13"/>
        <v/>
      </c>
      <c r="Q33" s="137" t="str">
        <f t="shared" si="14"/>
        <v/>
      </c>
      <c r="R33" s="137" t="str">
        <f t="shared" si="15"/>
        <v/>
      </c>
      <c r="S33" s="137" t="str">
        <f t="shared" si="16"/>
        <v/>
      </c>
      <c r="T33" s="137" t="str">
        <f t="shared" si="17"/>
        <v/>
      </c>
      <c r="U33" s="138">
        <f t="shared" si="18"/>
        <v>285.678</v>
      </c>
      <c r="V33" s="138">
        <f t="shared" si="19"/>
        <v>2.90858184261701</v>
      </c>
    </row>
    <row r="34" s="96" customFormat="1" ht="12" customHeight="1" spans="3:22">
      <c r="C34" s="135" t="str">
        <f t="shared" si="0"/>
        <v>Perak</v>
      </c>
      <c r="D34" s="138">
        <f t="shared" si="1"/>
        <v>190.379</v>
      </c>
      <c r="E34" s="137" t="str">
        <f t="shared" si="2"/>
        <v/>
      </c>
      <c r="F34" s="137" t="str">
        <f t="shared" si="3"/>
        <v/>
      </c>
      <c r="G34" s="137" t="str">
        <f t="shared" si="4"/>
        <v/>
      </c>
      <c r="H34" s="137" t="str">
        <f t="shared" si="5"/>
        <v/>
      </c>
      <c r="I34" s="137" t="str">
        <f t="shared" si="6"/>
        <v/>
      </c>
      <c r="J34" s="137" t="str">
        <f t="shared" si="7"/>
        <v/>
      </c>
      <c r="K34" s="137" t="str">
        <f t="shared" si="8"/>
        <v/>
      </c>
      <c r="L34" s="137" t="str">
        <f t="shared" si="9"/>
        <v/>
      </c>
      <c r="M34" s="137">
        <f t="shared" si="10"/>
        <v>3</v>
      </c>
      <c r="N34" s="137" t="str">
        <f t="shared" si="11"/>
        <v/>
      </c>
      <c r="O34" s="137" t="str">
        <f t="shared" si="12"/>
        <v/>
      </c>
      <c r="P34" s="137" t="str">
        <f t="shared" si="13"/>
        <v/>
      </c>
      <c r="Q34" s="137" t="str">
        <f t="shared" si="14"/>
        <v/>
      </c>
      <c r="R34" s="137" t="str">
        <f t="shared" si="15"/>
        <v/>
      </c>
      <c r="S34" s="137" t="str">
        <f t="shared" si="16"/>
        <v/>
      </c>
      <c r="T34" s="137" t="str">
        <f t="shared" si="17"/>
        <v/>
      </c>
      <c r="U34" s="138">
        <f t="shared" si="18"/>
        <v>190.379</v>
      </c>
      <c r="V34" s="138">
        <f t="shared" si="19"/>
        <v>1.93831132469278</v>
      </c>
    </row>
    <row r="35" s="96" customFormat="1" ht="12" customHeight="1" spans="3:22">
      <c r="C35" s="135" t="str">
        <f t="shared" si="0"/>
        <v/>
      </c>
      <c r="D35" s="138" t="str">
        <f t="shared" si="1"/>
        <v/>
      </c>
      <c r="E35" s="137" t="str">
        <f t="shared" si="2"/>
        <v/>
      </c>
      <c r="F35" s="137" t="str">
        <f t="shared" si="3"/>
        <v/>
      </c>
      <c r="G35" s="137" t="str">
        <f t="shared" si="4"/>
        <v/>
      </c>
      <c r="H35" s="137" t="str">
        <f t="shared" si="5"/>
        <v/>
      </c>
      <c r="I35" s="137" t="str">
        <f t="shared" si="6"/>
        <v/>
      </c>
      <c r="J35" s="137" t="str">
        <f t="shared" si="7"/>
        <v/>
      </c>
      <c r="K35" s="137" t="str">
        <f t="shared" si="8"/>
        <v/>
      </c>
      <c r="L35" s="137" t="str">
        <f t="shared" si="9"/>
        <v/>
      </c>
      <c r="M35" s="137" t="str">
        <f t="shared" si="10"/>
        <v/>
      </c>
      <c r="N35" s="137" t="str">
        <f t="shared" si="11"/>
        <v/>
      </c>
      <c r="O35" s="137" t="str">
        <f t="shared" si="12"/>
        <v/>
      </c>
      <c r="P35" s="137" t="str">
        <f t="shared" si="13"/>
        <v/>
      </c>
      <c r="Q35" s="137" t="str">
        <f t="shared" si="14"/>
        <v/>
      </c>
      <c r="R35" s="137" t="str">
        <f t="shared" si="15"/>
        <v/>
      </c>
      <c r="S35" s="137" t="str">
        <f t="shared" si="16"/>
        <v/>
      </c>
      <c r="T35" s="137" t="str">
        <f t="shared" si="17"/>
        <v/>
      </c>
      <c r="U35" s="138" t="str">
        <f t="shared" si="18"/>
        <v/>
      </c>
      <c r="V35" s="138" t="str">
        <f t="shared" si="19"/>
        <v/>
      </c>
    </row>
    <row r="36" s="96" customFormat="1" ht="12" customHeight="1" spans="3:22">
      <c r="C36" s="135" t="str">
        <f t="shared" si="0"/>
        <v>Selangor</v>
      </c>
      <c r="D36" s="138">
        <f t="shared" si="1"/>
        <v>480.281</v>
      </c>
      <c r="E36" s="137" t="str">
        <f t="shared" si="2"/>
        <v/>
      </c>
      <c r="F36" s="137" t="str">
        <f t="shared" si="3"/>
        <v/>
      </c>
      <c r="G36" s="137" t="str">
        <f t="shared" si="4"/>
        <v/>
      </c>
      <c r="H36" s="137" t="str">
        <f t="shared" si="5"/>
        <v/>
      </c>
      <c r="I36" s="137" t="str">
        <f t="shared" si="6"/>
        <v/>
      </c>
      <c r="J36" s="137" t="str">
        <f t="shared" si="7"/>
        <v/>
      </c>
      <c r="K36" s="137" t="str">
        <f t="shared" si="8"/>
        <v/>
      </c>
      <c r="L36" s="137" t="str">
        <f t="shared" si="9"/>
        <v/>
      </c>
      <c r="M36" s="137">
        <f t="shared" si="10"/>
        <v>1</v>
      </c>
      <c r="N36" s="137" t="str">
        <f t="shared" si="11"/>
        <v/>
      </c>
      <c r="O36" s="137" t="str">
        <f t="shared" si="12"/>
        <v/>
      </c>
      <c r="P36" s="137" t="str">
        <f t="shared" si="13"/>
        <v/>
      </c>
      <c r="Q36" s="137" t="str">
        <f t="shared" si="14"/>
        <v/>
      </c>
      <c r="R36" s="137" t="str">
        <f t="shared" si="15"/>
        <v/>
      </c>
      <c r="S36" s="137" t="str">
        <f t="shared" si="16"/>
        <v/>
      </c>
      <c r="T36" s="137" t="str">
        <f t="shared" si="17"/>
        <v/>
      </c>
      <c r="U36" s="138">
        <f t="shared" si="18"/>
        <v>480.281</v>
      </c>
      <c r="V36" s="138">
        <f t="shared" si="19"/>
        <v>4.88989910302487</v>
      </c>
    </row>
    <row r="37" s="96" customFormat="1" ht="12" customHeight="1" spans="3:22">
      <c r="C37" s="135" t="str">
        <f t="shared" si="0"/>
        <v/>
      </c>
      <c r="D37" s="138" t="str">
        <f t="shared" si="1"/>
        <v/>
      </c>
      <c r="E37" s="137" t="str">
        <f t="shared" si="2"/>
        <v/>
      </c>
      <c r="F37" s="137" t="str">
        <f t="shared" si="3"/>
        <v/>
      </c>
      <c r="G37" s="137" t="str">
        <f t="shared" si="4"/>
        <v/>
      </c>
      <c r="H37" s="137" t="str">
        <f t="shared" si="5"/>
        <v/>
      </c>
      <c r="I37" s="137" t="str">
        <f t="shared" si="6"/>
        <v/>
      </c>
      <c r="J37" s="137" t="str">
        <f t="shared" si="7"/>
        <v/>
      </c>
      <c r="K37" s="137" t="str">
        <f t="shared" si="8"/>
        <v/>
      </c>
      <c r="L37" s="137" t="str">
        <f t="shared" si="9"/>
        <v/>
      </c>
      <c r="M37" s="137" t="str">
        <f t="shared" si="10"/>
        <v/>
      </c>
      <c r="N37" s="137" t="str">
        <f t="shared" si="11"/>
        <v/>
      </c>
      <c r="O37" s="137" t="str">
        <f t="shared" si="12"/>
        <v/>
      </c>
      <c r="P37" s="137" t="str">
        <f t="shared" si="13"/>
        <v/>
      </c>
      <c r="Q37" s="137" t="str">
        <f t="shared" si="14"/>
        <v/>
      </c>
      <c r="R37" s="137" t="str">
        <f t="shared" si="15"/>
        <v/>
      </c>
      <c r="S37" s="137" t="str">
        <f t="shared" si="16"/>
        <v/>
      </c>
      <c r="T37" s="137" t="str">
        <f t="shared" si="17"/>
        <v/>
      </c>
      <c r="U37" s="138" t="str">
        <f t="shared" si="18"/>
        <v/>
      </c>
      <c r="V37" s="138" t="str">
        <f t="shared" si="19"/>
        <v/>
      </c>
    </row>
    <row r="38" s="96" customFormat="1" ht="12" customHeight="1" spans="3:22">
      <c r="C38" s="135" t="str">
        <f t="shared" si="0"/>
        <v/>
      </c>
      <c r="D38" s="138" t="str">
        <f t="shared" si="1"/>
        <v/>
      </c>
      <c r="E38" s="137" t="str">
        <f t="shared" si="2"/>
        <v/>
      </c>
      <c r="F38" s="137" t="str">
        <f t="shared" si="3"/>
        <v/>
      </c>
      <c r="G38" s="137" t="str">
        <f t="shared" si="4"/>
        <v/>
      </c>
      <c r="H38" s="137" t="str">
        <f t="shared" si="5"/>
        <v/>
      </c>
      <c r="I38" s="137" t="str">
        <f t="shared" si="6"/>
        <v/>
      </c>
      <c r="J38" s="137" t="str">
        <f t="shared" si="7"/>
        <v/>
      </c>
      <c r="K38" s="137" t="str">
        <f t="shared" si="8"/>
        <v/>
      </c>
      <c r="L38" s="137" t="str">
        <f t="shared" si="9"/>
        <v/>
      </c>
      <c r="M38" s="137" t="str">
        <f t="shared" si="10"/>
        <v/>
      </c>
      <c r="N38" s="137" t="str">
        <f t="shared" si="11"/>
        <v/>
      </c>
      <c r="O38" s="137" t="str">
        <f t="shared" si="12"/>
        <v/>
      </c>
      <c r="P38" s="137" t="str">
        <f t="shared" si="13"/>
        <v/>
      </c>
      <c r="Q38" s="137" t="str">
        <f t="shared" si="14"/>
        <v/>
      </c>
      <c r="R38" s="137" t="str">
        <f t="shared" si="15"/>
        <v/>
      </c>
      <c r="S38" s="137" t="str">
        <f t="shared" si="16"/>
        <v/>
      </c>
      <c r="T38" s="137" t="str">
        <f t="shared" si="17"/>
        <v/>
      </c>
      <c r="U38" s="138" t="str">
        <f t="shared" si="18"/>
        <v/>
      </c>
      <c r="V38" s="138" t="str">
        <f t="shared" si="19"/>
        <v/>
      </c>
    </row>
    <row r="39" s="96" customFormat="1" ht="12" customHeight="1" spans="3:22">
      <c r="C39" s="135" t="str">
        <f t="shared" si="0"/>
        <v/>
      </c>
      <c r="D39" s="138" t="str">
        <f t="shared" si="1"/>
        <v/>
      </c>
      <c r="E39" s="137" t="str">
        <f t="shared" si="2"/>
        <v/>
      </c>
      <c r="F39" s="137" t="str">
        <f t="shared" si="3"/>
        <v/>
      </c>
      <c r="G39" s="137" t="str">
        <f t="shared" si="4"/>
        <v/>
      </c>
      <c r="H39" s="137" t="str">
        <f t="shared" si="5"/>
        <v/>
      </c>
      <c r="I39" s="137" t="str">
        <f t="shared" si="6"/>
        <v/>
      </c>
      <c r="J39" s="137" t="str">
        <f t="shared" si="7"/>
        <v/>
      </c>
      <c r="K39" s="137" t="str">
        <f t="shared" si="8"/>
        <v/>
      </c>
      <c r="L39" s="137" t="str">
        <f t="shared" si="9"/>
        <v/>
      </c>
      <c r="M39" s="137" t="str">
        <f t="shared" si="10"/>
        <v/>
      </c>
      <c r="N39" s="137" t="str">
        <f t="shared" si="11"/>
        <v/>
      </c>
      <c r="O39" s="137" t="str">
        <f t="shared" si="12"/>
        <v/>
      </c>
      <c r="P39" s="137" t="str">
        <f t="shared" si="13"/>
        <v/>
      </c>
      <c r="Q39" s="137" t="str">
        <f t="shared" si="14"/>
        <v/>
      </c>
      <c r="R39" s="137" t="str">
        <f t="shared" si="15"/>
        <v/>
      </c>
      <c r="S39" s="137" t="str">
        <f t="shared" si="16"/>
        <v/>
      </c>
      <c r="T39" s="137" t="str">
        <f t="shared" si="17"/>
        <v/>
      </c>
      <c r="U39" s="138" t="str">
        <f t="shared" si="18"/>
        <v/>
      </c>
      <c r="V39" s="138" t="str">
        <f t="shared" si="19"/>
        <v/>
      </c>
    </row>
    <row r="40" s="96" customFormat="1" ht="12" customHeight="1" spans="3:22">
      <c r="C40" s="135" t="str">
        <f t="shared" si="0"/>
        <v>W.P. Kuala Lumpur</v>
      </c>
      <c r="D40" s="138">
        <f t="shared" si="1"/>
        <v>97.926</v>
      </c>
      <c r="E40" s="137" t="str">
        <f t="shared" si="2"/>
        <v/>
      </c>
      <c r="F40" s="137" t="str">
        <f t="shared" si="3"/>
        <v/>
      </c>
      <c r="G40" s="137" t="str">
        <f t="shared" si="4"/>
        <v/>
      </c>
      <c r="H40" s="137" t="str">
        <f t="shared" si="5"/>
        <v/>
      </c>
      <c r="I40" s="137" t="str">
        <f t="shared" si="6"/>
        <v/>
      </c>
      <c r="J40" s="137" t="str">
        <f t="shared" si="7"/>
        <v/>
      </c>
      <c r="K40" s="137" t="str">
        <f t="shared" si="8"/>
        <v/>
      </c>
      <c r="L40" s="137" t="str">
        <f t="shared" si="9"/>
        <v/>
      </c>
      <c r="M40" s="137">
        <f t="shared" si="10"/>
        <v>5</v>
      </c>
      <c r="N40" s="137" t="str">
        <f t="shared" si="11"/>
        <v/>
      </c>
      <c r="O40" s="137" t="str">
        <f t="shared" si="12"/>
        <v/>
      </c>
      <c r="P40" s="137" t="str">
        <f t="shared" si="13"/>
        <v/>
      </c>
      <c r="Q40" s="137" t="str">
        <f t="shared" si="14"/>
        <v/>
      </c>
      <c r="R40" s="137" t="str">
        <f t="shared" si="15"/>
        <v/>
      </c>
      <c r="S40" s="137" t="str">
        <f t="shared" si="16"/>
        <v/>
      </c>
      <c r="T40" s="137" t="str">
        <f t="shared" si="17"/>
        <v/>
      </c>
      <c r="U40" s="138">
        <f t="shared" si="18"/>
        <v>97.926</v>
      </c>
      <c r="V40" s="138">
        <f t="shared" si="19"/>
        <v>0.997016870462945</v>
      </c>
    </row>
    <row r="41" s="96" customFormat="1" ht="12" customHeight="1" spans="3:22">
      <c r="C41" s="135" t="str">
        <f t="shared" si="0"/>
        <v/>
      </c>
      <c r="D41" s="140" t="str">
        <f t="shared" si="1"/>
        <v/>
      </c>
      <c r="E41" s="141" t="str">
        <f t="shared" si="2"/>
        <v/>
      </c>
      <c r="F41" s="141" t="str">
        <f t="shared" si="3"/>
        <v/>
      </c>
      <c r="G41" s="141" t="str">
        <f t="shared" si="4"/>
        <v/>
      </c>
      <c r="H41" s="141" t="str">
        <f t="shared" si="5"/>
        <v/>
      </c>
      <c r="I41" s="141" t="str">
        <f t="shared" si="6"/>
        <v/>
      </c>
      <c r="J41" s="141" t="str">
        <f t="shared" si="7"/>
        <v/>
      </c>
      <c r="K41" s="141" t="str">
        <f t="shared" si="8"/>
        <v/>
      </c>
      <c r="L41" s="141" t="str">
        <f t="shared" si="9"/>
        <v/>
      </c>
      <c r="M41" s="141" t="str">
        <f t="shared" si="10"/>
        <v/>
      </c>
      <c r="N41" s="141" t="str">
        <f t="shared" si="11"/>
        <v/>
      </c>
      <c r="O41" s="141" t="str">
        <f t="shared" si="12"/>
        <v/>
      </c>
      <c r="P41" s="141" t="str">
        <f t="shared" si="13"/>
        <v/>
      </c>
      <c r="Q41" s="141" t="str">
        <f t="shared" si="14"/>
        <v/>
      </c>
      <c r="R41" s="141" t="str">
        <f t="shared" si="15"/>
        <v/>
      </c>
      <c r="S41" s="141" t="str">
        <f t="shared" si="16"/>
        <v/>
      </c>
      <c r="T41" s="141" t="str">
        <f t="shared" si="17"/>
        <v/>
      </c>
      <c r="U41" s="142" t="str">
        <f t="shared" si="18"/>
        <v/>
      </c>
      <c r="V41" s="138" t="str">
        <f t="shared" si="19"/>
        <v/>
      </c>
    </row>
    <row r="42" s="96" customFormat="1" ht="12" customHeight="1" spans="3:22">
      <c r="C42" s="135" t="str">
        <f t="shared" si="0"/>
        <v/>
      </c>
      <c r="D42" s="140" t="str">
        <f t="shared" si="1"/>
        <v/>
      </c>
      <c r="E42" s="141" t="str">
        <f t="shared" si="2"/>
        <v/>
      </c>
      <c r="F42" s="141" t="str">
        <f t="shared" si="3"/>
        <v/>
      </c>
      <c r="G42" s="141" t="str">
        <f t="shared" si="4"/>
        <v/>
      </c>
      <c r="H42" s="141" t="str">
        <f t="shared" si="5"/>
        <v/>
      </c>
      <c r="I42" s="141" t="str">
        <f t="shared" si="6"/>
        <v/>
      </c>
      <c r="J42" s="141" t="str">
        <f t="shared" si="7"/>
        <v/>
      </c>
      <c r="K42" s="141" t="str">
        <f t="shared" si="8"/>
        <v/>
      </c>
      <c r="L42" s="141" t="str">
        <f t="shared" si="9"/>
        <v/>
      </c>
      <c r="M42" s="141" t="str">
        <f t="shared" si="10"/>
        <v/>
      </c>
      <c r="N42" s="141" t="str">
        <f t="shared" si="11"/>
        <v/>
      </c>
      <c r="O42" s="141" t="str">
        <f t="shared" si="12"/>
        <v/>
      </c>
      <c r="P42" s="141" t="str">
        <f t="shared" si="13"/>
        <v/>
      </c>
      <c r="Q42" s="141" t="str">
        <f t="shared" si="14"/>
        <v/>
      </c>
      <c r="R42" s="141" t="str">
        <f t="shared" si="15"/>
        <v/>
      </c>
      <c r="S42" s="141" t="str">
        <f t="shared" si="16"/>
        <v/>
      </c>
      <c r="T42" s="141" t="str">
        <f t="shared" si="17"/>
        <v/>
      </c>
      <c r="U42" s="142" t="str">
        <f t="shared" si="18"/>
        <v/>
      </c>
      <c r="V42" s="138" t="str">
        <f t="shared" si="19"/>
        <v/>
      </c>
    </row>
    <row r="43" s="2" customFormat="1" spans="3:22">
      <c r="C43" s="143"/>
    </row>
  </sheetData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zoomScale="90" zoomScaleNormal="90" workbookViewId="0">
      <selection activeCell="A1" sqref="A1:G1"/>
    </sheetView>
  </sheetViews>
  <sheetFormatPr defaultColWidth="9" defaultRowHeight="14.4" outlineLevelCol="6"/>
  <cols>
    <col min="1" max="1" width="28.8888888888889" style="2" customWidth="1"/>
    <col min="2" max="2" width="10.6666666666667" style="1" customWidth="1"/>
    <col min="3" max="3" width="11.4444444444444" style="1" customWidth="1"/>
    <col min="4" max="5" width="10.6666666666667" style="1" customWidth="1"/>
    <col min="6" max="6" width="11.4444444444444" style="1" customWidth="1"/>
    <col min="7" max="7" width="10.6666666666667" style="1" customWidth="1"/>
    <col min="8" max="9" width="9" style="1"/>
    <col min="10" max="16384" width="9" style="2"/>
  </cols>
  <sheetData>
    <row r="1" ht="30" customHeight="1" spans="1:7">
      <c r="A1" s="98" t="str">
        <f>Tajuk!B21</f>
        <v>Jadual 11: Taburan peratus ketibaan pelawat domestik di Perlis mengikut mod pengangkutan, 2024 dan 2025</v>
      </c>
      <c r="B1" s="98"/>
      <c r="C1" s="98"/>
      <c r="D1" s="98"/>
      <c r="E1" s="98"/>
      <c r="F1" s="98"/>
      <c r="G1" s="98"/>
    </row>
    <row r="2" ht="18" customHeight="1" spans="1:7">
      <c r="A2" s="4" t="str">
        <f>Tajuk!B22</f>
        <v>Table 11: Percentage distribution of domestic visitor arrivals in Perlis by mode of transport, 2024 and 2025</v>
      </c>
      <c r="B2" s="4"/>
      <c r="C2" s="4"/>
      <c r="D2" s="4"/>
      <c r="E2" s="4"/>
      <c r="F2" s="4"/>
      <c r="G2" s="4"/>
    </row>
    <row r="3" ht="6" customHeight="1" spans="1:7">
      <c r="A3" s="99"/>
      <c r="B3" s="99"/>
      <c r="C3" s="99"/>
      <c r="D3" s="99"/>
      <c r="E3" s="78"/>
      <c r="F3" s="78"/>
      <c r="G3" s="78"/>
    </row>
    <row r="4" ht="15" customHeight="1" spans="1:7">
      <c r="A4" s="37" t="s">
        <v>140</v>
      </c>
      <c r="B4" s="8">
        <f>Master!A1</f>
        <v>2024</v>
      </c>
      <c r="C4" s="8"/>
      <c r="D4" s="8"/>
      <c r="E4" s="8">
        <f>Master!A2</f>
        <v>2025</v>
      </c>
      <c r="F4" s="8"/>
      <c r="G4" s="8"/>
    </row>
    <row r="5" ht="48" customHeight="1" spans="1:7">
      <c r="A5" s="100"/>
      <c r="B5" s="8" t="s">
        <v>141</v>
      </c>
      <c r="C5" s="8" t="s">
        <v>142</v>
      </c>
      <c r="D5" s="8" t="s">
        <v>127</v>
      </c>
      <c r="E5" s="8" t="s">
        <v>141</v>
      </c>
      <c r="F5" s="8" t="s">
        <v>142</v>
      </c>
      <c r="G5" s="8" t="s">
        <v>127</v>
      </c>
    </row>
    <row r="6" ht="18" customHeight="1" spans="1:7">
      <c r="A6" s="40"/>
      <c r="B6" s="65" t="s">
        <v>143</v>
      </c>
      <c r="C6" s="65"/>
      <c r="D6" s="65"/>
      <c r="E6" s="65"/>
      <c r="F6" s="65"/>
      <c r="G6" s="65"/>
    </row>
    <row r="7" ht="7.5" customHeight="1" spans="1:7">
      <c r="A7" s="3"/>
      <c r="B7" s="3"/>
      <c r="C7" s="3"/>
      <c r="D7" s="3"/>
      <c r="E7" s="101"/>
      <c r="F7" s="101"/>
      <c r="G7" s="101"/>
    </row>
    <row r="8" ht="27" customHeight="1" spans="1:7">
      <c r="A8" s="49" t="s">
        <v>144</v>
      </c>
      <c r="B8" s="102">
        <f>SUM(B9:B11)</f>
        <v>100</v>
      </c>
      <c r="C8" s="102">
        <f t="shared" ref="C8:G8" si="0">SUM(C9:C11)</f>
        <v>100</v>
      </c>
      <c r="D8" s="102">
        <f t="shared" si="0"/>
        <v>100</v>
      </c>
      <c r="E8" s="102">
        <f t="shared" si="0"/>
        <v>100</v>
      </c>
      <c r="F8" s="102">
        <f t="shared" si="0"/>
        <v>100</v>
      </c>
      <c r="G8" s="102">
        <f t="shared" si="0"/>
        <v>100</v>
      </c>
    </row>
    <row r="9" ht="27" customHeight="1" spans="1:7">
      <c r="A9" s="103" t="s">
        <v>145</v>
      </c>
      <c r="B9" s="104">
        <f>IF('[13]T11'!$J47&lt;&gt;0,'[13]T11'!$J47,"-")</f>
        <v>0.2</v>
      </c>
      <c r="C9" s="104" t="str">
        <f>IF('[13]T11'!$J57&lt;&gt;0,'[13]T11'!$J57,"-")</f>
        <v>-</v>
      </c>
      <c r="D9" s="104">
        <f>IF('[13]T11'!$J67&lt;&gt;0,'[13]T11'!$J67,"-")</f>
        <v>0.5</v>
      </c>
      <c r="E9" s="104">
        <f>IF('[13]T11'!$J7&lt;&gt;0,'[13]T11'!$J7,"-")</f>
        <v>0.4</v>
      </c>
      <c r="F9" s="104" t="str">
        <f>IF('[13]T11'!$J17&lt;&gt;0,'[13]T11'!$J17,"-")</f>
        <v>-</v>
      </c>
      <c r="G9" s="104">
        <f>IF('[13]T11'!$J27&lt;&gt;0,'[13]T11'!$J27,"-")</f>
        <v>1.1</v>
      </c>
    </row>
    <row r="10" ht="27" customHeight="1" spans="1:7">
      <c r="A10" s="103" t="s">
        <v>146</v>
      </c>
      <c r="B10" s="104">
        <f>IF('[13]T11'!$J48&lt;&gt;0,'[13]T11'!$J48,"-")</f>
        <v>0.8</v>
      </c>
      <c r="C10" s="104" t="str">
        <f>IF('[13]T11'!$J58&lt;&gt;0,'[13]T11'!$J58,"-")</f>
        <v>-</v>
      </c>
      <c r="D10" s="104">
        <f>IF('[13]T11'!$J68&lt;&gt;0,'[13]T11'!$J68,"-")</f>
        <v>2.2</v>
      </c>
      <c r="E10" s="104">
        <f>IF('[13]T11'!$J8&lt;&gt;0,'[13]T11'!$J8,"-")</f>
        <v>1</v>
      </c>
      <c r="F10" s="104" t="str">
        <f>IF('[13]T11'!$J18&lt;&gt;0,'[13]T11'!$J18,"-")</f>
        <v>-</v>
      </c>
      <c r="G10" s="104">
        <f>IF('[13]T11'!$J28&lt;&gt;0,'[13]T11'!$J28,"-")</f>
        <v>2.3</v>
      </c>
    </row>
    <row r="11" ht="27" customHeight="1" spans="1:7">
      <c r="A11" s="103" t="s">
        <v>147</v>
      </c>
      <c r="B11" s="104">
        <f>IF('[13]T11'!$J49&lt;&gt;0,'[13]T11'!$J49,"-")</f>
        <v>99</v>
      </c>
      <c r="C11" s="104">
        <f>IF('[13]T11'!$J59&lt;&gt;0,'[13]T11'!$J59,"-")</f>
        <v>100</v>
      </c>
      <c r="D11" s="104">
        <f>IF('[13]T11'!$J69&lt;&gt;0,'[13]T11'!$J69,"-")</f>
        <v>97.3</v>
      </c>
      <c r="E11" s="104">
        <f>IF('[13]T11'!$J9&lt;&gt;0,'[13]T11'!$J9,"-")</f>
        <v>98.6</v>
      </c>
      <c r="F11" s="104">
        <f>IF('[13]T11'!$J19&lt;&gt;0,'[13]T11'!$J19,"-")</f>
        <v>100</v>
      </c>
      <c r="G11" s="104">
        <f>IF('[13]T11'!$J29&lt;&gt;0,'[13]T11'!$J29,"-")</f>
        <v>96.6</v>
      </c>
    </row>
    <row r="12" ht="39.9" customHeight="1" spans="1:7">
      <c r="A12" s="105" t="s">
        <v>148</v>
      </c>
      <c r="B12" s="106">
        <f>IF('[13]T11'!$J50&lt;&gt;0,'[13]T11'!$J50,"-")</f>
        <v>92.7</v>
      </c>
      <c r="C12" s="106">
        <f>IF('[13]T11'!$J60&lt;&gt;0,'[13]T11'!$J60,"-")</f>
        <v>95.8</v>
      </c>
      <c r="D12" s="106">
        <f>IF('[13]T11'!$J70&lt;&gt;0,'[13]T11'!$J70,"-")</f>
        <v>87.5</v>
      </c>
      <c r="E12" s="106">
        <f>IF('[13]T11'!$J10&lt;&gt;0,'[13]T11'!$J10,"-")</f>
        <v>94.8</v>
      </c>
      <c r="F12" s="106">
        <f>IF('[13]T11'!$J20&lt;&gt;0,'[13]T11'!$J20,"-")</f>
        <v>96.3</v>
      </c>
      <c r="G12" s="106">
        <f>IF('[13]T11'!$J30&lt;&gt;0,'[13]T11'!$J30,"-")</f>
        <v>92.5</v>
      </c>
    </row>
    <row r="13" ht="27" customHeight="1" spans="1:7">
      <c r="A13" s="105" t="s">
        <v>149</v>
      </c>
      <c r="B13" s="106">
        <f>IF('[13]T11'!$J51&lt;&gt;0,'[13]T11'!$J51,"-")</f>
        <v>3.8</v>
      </c>
      <c r="C13" s="106">
        <f>IF('[13]T11'!$J61&lt;&gt;0,'[13]T11'!$J61,"-")</f>
        <v>2.3</v>
      </c>
      <c r="D13" s="106">
        <f>IF('[13]T11'!$J71&lt;&gt;0,'[13]T11'!$J71,"-")</f>
        <v>4.3</v>
      </c>
      <c r="E13" s="106">
        <f>IF('[13]T11'!$J11&lt;&gt;0,'[13]T11'!$J11,"-")</f>
        <v>1.6</v>
      </c>
      <c r="F13" s="106">
        <f>IF('[13]T11'!$J21&lt;&gt;0,'[13]T11'!$J21,"-")</f>
        <v>2.2</v>
      </c>
      <c r="G13" s="106">
        <f>IF('[13]T11'!$J31&lt;&gt;0,'[13]T11'!$J31,"-")</f>
        <v>0.7</v>
      </c>
    </row>
    <row r="14" ht="27" customHeight="1" spans="1:7">
      <c r="A14" s="105" t="s">
        <v>150</v>
      </c>
      <c r="B14" s="106">
        <f>IF('[13]T11'!$J52&lt;&gt;0,'[13]T11'!$J52,"-")</f>
        <v>2.9</v>
      </c>
      <c r="C14" s="106">
        <f>IF('[13]T11'!$J62&lt;&gt;0,'[13]T11'!$J62,"-")</f>
        <v>1.1</v>
      </c>
      <c r="D14" s="106">
        <f>IF('[13]T11'!$J72&lt;&gt;0,'[13]T11'!$J72,"-")</f>
        <v>7.9</v>
      </c>
      <c r="E14" s="106">
        <f>IF('[13]T11'!$J12&lt;&gt;0,'[13]T11'!$J12,"-")</f>
        <v>3.2</v>
      </c>
      <c r="F14" s="106">
        <f>IF('[13]T11'!$J22&lt;&gt;0,'[13]T11'!$J22,"-")</f>
        <v>0.8</v>
      </c>
      <c r="G14" s="106">
        <f>IF('[13]T11'!$J32&lt;&gt;0,'[13]T11'!$J32,"-")</f>
        <v>6.8</v>
      </c>
    </row>
    <row r="15" ht="27" customHeight="1" spans="1:7">
      <c r="A15" s="105" t="s">
        <v>151</v>
      </c>
      <c r="B15" s="106">
        <f>IF('[13]T11'!$J53&lt;&gt;0,'[13]T11'!$J53,"-")</f>
        <v>0.6</v>
      </c>
      <c r="C15" s="106">
        <f>IF('[13]T11'!$J63&lt;&gt;0,'[13]T11'!$J63,"-")</f>
        <v>0.8</v>
      </c>
      <c r="D15" s="106">
        <f>IF('[13]T11'!$J73&lt;&gt;0,'[13]T11'!$J73,"-")</f>
        <v>0.3</v>
      </c>
      <c r="E15" s="106">
        <f>IF('[13]T11'!$J13&lt;&gt;0,'[13]T11'!$J13,"-")</f>
        <v>0.4</v>
      </c>
      <c r="F15" s="106">
        <f>IF('[13]T11'!$J23&lt;&gt;0,'[13]T11'!$J23,"-")</f>
        <v>0.7</v>
      </c>
      <c r="G15" s="106">
        <f>IF('[13]T11'!$J33&lt;&gt;0,'[13]T11'!$J33,"-")</f>
        <v>0.01</v>
      </c>
    </row>
    <row r="16" ht="7.5" customHeight="1" spans="1:7">
      <c r="A16" s="63"/>
      <c r="B16" s="63"/>
      <c r="C16" s="63"/>
      <c r="D16" s="63"/>
      <c r="E16" s="63"/>
      <c r="F16" s="63"/>
      <c r="G16" s="63"/>
    </row>
    <row r="17" ht="15" customHeight="1" spans="1:7">
      <c r="A17" s="107"/>
      <c r="B17" s="107"/>
      <c r="C17" s="107"/>
      <c r="D17" s="107"/>
      <c r="E17" s="107"/>
      <c r="F17" s="107"/>
      <c r="G17" s="107"/>
    </row>
    <row r="18" ht="15" customHeight="1" spans="1:7">
      <c r="A18" s="1"/>
    </row>
    <row r="19" ht="30" customHeight="1" spans="1:7">
      <c r="A19" s="98" t="str">
        <f>Tajuk!B23</f>
        <v>Jadual 12: Taburan peratus ketibaan pelancong di Perlis mengikut jenis penginapan, 2024 dan 2025</v>
      </c>
      <c r="B19" s="98"/>
      <c r="C19" s="98"/>
      <c r="D19" s="98"/>
      <c r="E19" s="98"/>
      <c r="F19" s="98"/>
      <c r="G19" s="98"/>
    </row>
    <row r="20" ht="18" customHeight="1" spans="1:7">
      <c r="A20" s="4" t="str">
        <f>Tajuk!B24</f>
        <v>Table 12: Percentage distribution of tourist arrivals in Perlis by types of accommodation, 2024 and 2025</v>
      </c>
      <c r="B20" s="4"/>
      <c r="C20" s="4"/>
      <c r="D20" s="4"/>
      <c r="E20" s="4"/>
      <c r="F20" s="4"/>
      <c r="G20" s="4"/>
    </row>
    <row r="21" ht="6" customHeight="1" spans="1:7">
      <c r="A21" s="99"/>
      <c r="B21" s="99"/>
      <c r="C21" s="99"/>
      <c r="D21" s="99"/>
      <c r="E21" s="78"/>
      <c r="F21" s="78"/>
      <c r="G21" s="108"/>
    </row>
    <row r="22" ht="18" customHeight="1" spans="1:7">
      <c r="A22" s="37" t="s">
        <v>152</v>
      </c>
      <c r="B22" s="37"/>
      <c r="C22" s="37"/>
      <c r="D22" s="8">
        <f>Master!A1</f>
        <v>2024</v>
      </c>
      <c r="E22" s="8"/>
      <c r="F22" s="8">
        <f>Master!A2</f>
        <v>2025</v>
      </c>
      <c r="G22" s="8"/>
    </row>
    <row r="23" ht="37.5" customHeight="1" spans="1:7">
      <c r="A23" s="40"/>
      <c r="B23" s="40"/>
      <c r="C23" s="40"/>
      <c r="D23" s="65" t="s">
        <v>153</v>
      </c>
      <c r="E23" s="65"/>
      <c r="F23" s="65"/>
      <c r="G23" s="65"/>
    </row>
    <row r="24" ht="7.5" customHeight="1" spans="1:7">
      <c r="A24" s="3"/>
      <c r="B24" s="3"/>
      <c r="C24" s="3"/>
      <c r="D24" s="3"/>
      <c r="E24" s="89"/>
      <c r="F24" s="3"/>
      <c r="G24" s="3"/>
    </row>
    <row r="25" ht="27" customHeight="1" spans="1:7">
      <c r="A25" s="49" t="s">
        <v>144</v>
      </c>
      <c r="B25" s="49"/>
      <c r="C25" s="49"/>
      <c r="D25" s="109">
        <f>SUM(D26:E31)</f>
        <v>100</v>
      </c>
      <c r="E25" s="109"/>
      <c r="F25" s="109">
        <f>SUM(F26:G31)</f>
        <v>100</v>
      </c>
      <c r="G25" s="109"/>
    </row>
    <row r="26" ht="39.9" customHeight="1" spans="1:7">
      <c r="A26" s="105" t="s">
        <v>154</v>
      </c>
      <c r="B26" s="105"/>
      <c r="C26" s="105"/>
      <c r="D26" s="110">
        <f>'[13]T12'!$J27</f>
        <v>58.4</v>
      </c>
      <c r="E26" s="110"/>
      <c r="F26" s="110">
        <f>'[13]T12'!$J7</f>
        <v>66</v>
      </c>
      <c r="G26" s="110"/>
    </row>
    <row r="27" ht="27" customHeight="1" spans="1:7">
      <c r="A27" s="105" t="s">
        <v>155</v>
      </c>
      <c r="B27" s="105"/>
      <c r="C27" s="105"/>
      <c r="D27" s="110">
        <f>'[13]T12'!$J28</f>
        <v>16.9</v>
      </c>
      <c r="E27" s="110"/>
      <c r="F27" s="110">
        <f>'[13]T12'!$J8</f>
        <v>14.2</v>
      </c>
      <c r="G27" s="110"/>
    </row>
    <row r="28" ht="27" customHeight="1" spans="1:7">
      <c r="A28" s="105" t="s">
        <v>156</v>
      </c>
      <c r="B28" s="105"/>
      <c r="C28" s="105"/>
      <c r="D28" s="110">
        <f>'[13]T12'!$J29</f>
        <v>0</v>
      </c>
      <c r="E28" s="110"/>
      <c r="F28" s="110">
        <f>'[13]T12'!$J9</f>
        <v>0.2</v>
      </c>
      <c r="G28" s="110"/>
    </row>
    <row r="29" ht="27" customHeight="1" spans="1:7">
      <c r="A29" s="105" t="s">
        <v>157</v>
      </c>
      <c r="B29" s="105"/>
      <c r="C29" s="105"/>
      <c r="D29" s="110">
        <f>'[13]T12'!$J30</f>
        <v>2.7</v>
      </c>
      <c r="E29" s="110"/>
      <c r="F29" s="110">
        <f>'[13]T12'!$J10</f>
        <v>3.2</v>
      </c>
      <c r="G29" s="110"/>
    </row>
    <row r="30" ht="39.9" customHeight="1" spans="1:7">
      <c r="A30" s="105" t="s">
        <v>158</v>
      </c>
      <c r="B30" s="105"/>
      <c r="C30" s="105"/>
      <c r="D30" s="110">
        <f>'[13]T12'!$J31</f>
        <v>19.7</v>
      </c>
      <c r="E30" s="110"/>
      <c r="F30" s="110">
        <f>'[13]T12'!$J11</f>
        <v>14.9</v>
      </c>
      <c r="G30" s="110"/>
    </row>
    <row r="31" ht="27" customHeight="1" spans="1:7">
      <c r="A31" s="105" t="s">
        <v>159</v>
      </c>
      <c r="B31" s="105"/>
      <c r="C31" s="105"/>
      <c r="D31" s="110">
        <f>'[13]T12'!$J32</f>
        <v>2.3</v>
      </c>
      <c r="E31" s="110"/>
      <c r="F31" s="110">
        <f>'[13]T12'!$J12</f>
        <v>1.5</v>
      </c>
      <c r="G31" s="110"/>
    </row>
    <row r="32" ht="7.5" customHeight="1" spans="1:7">
      <c r="A32" s="63"/>
      <c r="B32" s="63"/>
      <c r="C32" s="63"/>
      <c r="D32" s="63"/>
      <c r="E32" s="63"/>
      <c r="F32" s="63"/>
      <c r="G32" s="108"/>
    </row>
  </sheetData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zoomScaleSheetLayoutView="70" workbookViewId="0">
      <selection activeCell="A1" sqref="A1:D1"/>
    </sheetView>
  </sheetViews>
  <sheetFormatPr defaultColWidth="9" defaultRowHeight="14.4" outlineLevelCol="3"/>
  <cols>
    <col min="1" max="1" width="16.8888888888889" style="2" customWidth="1"/>
    <col min="2" max="2" width="37.6666666666667" style="1" customWidth="1"/>
    <col min="3" max="4" width="16.6666666666667" style="1" customWidth="1"/>
    <col min="5" max="16384" width="9" style="2"/>
  </cols>
  <sheetData>
    <row r="1" ht="15" customHeight="1" spans="1:4">
      <c r="A1" s="3" t="str">
        <f>Tajuk!B25</f>
        <v>Jadual 13: Profil sosial &amp; demografi pelawat domestik ke Perlis, 2024 dan 2025</v>
      </c>
      <c r="B1" s="3"/>
      <c r="C1" s="3"/>
      <c r="D1" s="3"/>
    </row>
    <row r="2" ht="15" customHeight="1" spans="1:4">
      <c r="A2" s="4" t="str">
        <f>Tajuk!B26</f>
        <v>Table 13: Social &amp; demographic profiles of domestic visitors to Perlis, 2024 and 2025</v>
      </c>
      <c r="B2" s="4"/>
      <c r="C2" s="4"/>
      <c r="D2" s="4"/>
    </row>
    <row r="3" ht="6" customHeight="1" spans="1:4">
      <c r="A3" s="62"/>
      <c r="B3" s="63"/>
      <c r="C3" s="63"/>
      <c r="D3" s="64"/>
    </row>
    <row r="4" ht="18" customHeight="1" spans="1:4">
      <c r="A4" s="38" t="s">
        <v>160</v>
      </c>
      <c r="B4" s="38" t="s">
        <v>161</v>
      </c>
      <c r="C4" s="8">
        <f>Master!A1</f>
        <v>2024</v>
      </c>
      <c r="D4" s="8">
        <f>Master!A2</f>
        <v>2025</v>
      </c>
    </row>
    <row r="5" ht="18" customHeight="1" spans="1:4">
      <c r="A5" s="41"/>
      <c r="B5" s="41"/>
      <c r="C5" s="65" t="s">
        <v>162</v>
      </c>
      <c r="D5" s="65"/>
    </row>
    <row r="6" ht="8.1" customHeight="1" spans="1:4">
      <c r="A6" s="42"/>
      <c r="B6" s="43"/>
      <c r="C6" s="3"/>
      <c r="D6" s="3"/>
    </row>
    <row r="7" ht="15" customHeight="1" spans="1:4">
      <c r="A7" s="49" t="s">
        <v>163</v>
      </c>
      <c r="B7" s="66"/>
      <c r="C7" s="66"/>
      <c r="D7" s="3"/>
    </row>
    <row r="8" ht="15" customHeight="1" spans="1:4">
      <c r="A8" s="44" t="s">
        <v>94</v>
      </c>
      <c r="B8" s="67"/>
      <c r="C8" s="46">
        <f>SUM(C9:C12)</f>
        <v>100</v>
      </c>
      <c r="D8" s="46">
        <f>SUM(D9:D12)</f>
        <v>100</v>
      </c>
    </row>
    <row r="9" ht="15" customHeight="1" spans="1:4">
      <c r="A9" s="68"/>
      <c r="B9" s="49" t="s">
        <v>164</v>
      </c>
      <c r="C9" s="50">
        <f>[13]T13_Age!$J37</f>
        <v>22.3</v>
      </c>
      <c r="D9" s="50">
        <f>[13]T13_Age!$J7</f>
        <v>23.6</v>
      </c>
    </row>
    <row r="10" ht="15" customHeight="1" spans="1:4">
      <c r="A10" s="69"/>
      <c r="B10" s="49" t="s">
        <v>165</v>
      </c>
      <c r="C10" s="50">
        <f>[13]T13_Age!$J38</f>
        <v>32.6</v>
      </c>
      <c r="D10" s="50">
        <f>[13]T13_Age!$J8</f>
        <v>26.9</v>
      </c>
    </row>
    <row r="11" ht="15" customHeight="1" spans="1:4">
      <c r="A11" s="69"/>
      <c r="B11" s="49" t="s">
        <v>166</v>
      </c>
      <c r="C11" s="50">
        <f>[13]T13_Age!$J39</f>
        <v>24.3</v>
      </c>
      <c r="D11" s="50">
        <f>[13]T13_Age!$J9</f>
        <v>24.5</v>
      </c>
    </row>
    <row r="12" ht="15" customHeight="1" spans="1:4">
      <c r="A12" s="69"/>
      <c r="B12" s="49" t="s">
        <v>167</v>
      </c>
      <c r="C12" s="50">
        <f>[13]T13_Age!$J40</f>
        <v>20.8</v>
      </c>
      <c r="D12" s="50">
        <f>[13]T13_Age!$J10</f>
        <v>25</v>
      </c>
    </row>
    <row r="13" ht="15" customHeight="1" spans="1:4">
      <c r="A13" s="66"/>
      <c r="B13" s="66"/>
      <c r="C13" s="70"/>
      <c r="D13" s="70"/>
    </row>
    <row r="14" ht="17.25" customHeight="1" spans="1:4">
      <c r="A14" s="49" t="s">
        <v>168</v>
      </c>
      <c r="B14" s="66"/>
      <c r="C14" s="71"/>
      <c r="D14" s="71"/>
    </row>
    <row r="15" ht="15" customHeight="1" spans="1:4">
      <c r="A15" s="44" t="s">
        <v>94</v>
      </c>
      <c r="B15" s="67"/>
      <c r="C15" s="46">
        <f>SUM(C16:C19)</f>
        <v>100</v>
      </c>
      <c r="D15" s="46">
        <f>SUM(D16:D19)</f>
        <v>100</v>
      </c>
    </row>
    <row r="16" ht="17.25" customHeight="1" spans="1:4">
      <c r="A16" s="68"/>
      <c r="B16" s="49" t="s">
        <v>164</v>
      </c>
      <c r="C16" s="50">
        <f>[13]T13_Age!$J44</f>
        <v>23.4</v>
      </c>
      <c r="D16" s="50">
        <f>[13]T13_Age!$J14</f>
        <v>24.9</v>
      </c>
    </row>
    <row r="17" ht="17.25" customHeight="1" spans="1:4">
      <c r="A17" s="69"/>
      <c r="B17" s="49" t="s">
        <v>165</v>
      </c>
      <c r="C17" s="50">
        <f>[13]T13_Age!$J45</f>
        <v>33.1</v>
      </c>
      <c r="D17" s="50">
        <f>[13]T13_Age!$J15</f>
        <v>25.3</v>
      </c>
    </row>
    <row r="18" ht="17.25" customHeight="1" spans="1:4">
      <c r="A18" s="69"/>
      <c r="B18" s="49" t="s">
        <v>166</v>
      </c>
      <c r="C18" s="50">
        <f>[13]T13_Age!$J46</f>
        <v>22.7</v>
      </c>
      <c r="D18" s="50">
        <f>[13]T13_Age!$J16</f>
        <v>26.5</v>
      </c>
    </row>
    <row r="19" ht="17.25" customHeight="1" spans="1:4">
      <c r="A19" s="69"/>
      <c r="B19" s="49" t="s">
        <v>167</v>
      </c>
      <c r="C19" s="50">
        <f>[13]T13_Age!$J47</f>
        <v>20.8</v>
      </c>
      <c r="D19" s="50">
        <f>[13]T13_Age!$J17</f>
        <v>23.3</v>
      </c>
    </row>
    <row r="20" ht="15" customHeight="1" spans="1:4">
      <c r="A20" s="69"/>
      <c r="B20" s="69"/>
      <c r="C20" s="71"/>
      <c r="D20" s="71"/>
    </row>
    <row r="21" ht="17.25" customHeight="1" spans="1:4">
      <c r="A21" s="72" t="s">
        <v>169</v>
      </c>
      <c r="B21" s="49"/>
      <c r="C21" s="71"/>
      <c r="D21" s="71"/>
    </row>
    <row r="22" ht="15" customHeight="1" spans="1:4">
      <c r="A22" s="44" t="s">
        <v>94</v>
      </c>
      <c r="B22" s="67"/>
      <c r="C22" s="46">
        <f>SUM(C23:C26)</f>
        <v>100</v>
      </c>
      <c r="D22" s="46">
        <f>SUM(D23:D26)</f>
        <v>100</v>
      </c>
    </row>
    <row r="23" ht="17.25" customHeight="1" spans="1:4">
      <c r="A23" s="68"/>
      <c r="B23" s="49" t="s">
        <v>164</v>
      </c>
      <c r="C23" s="50">
        <f>[13]T13_Age!$J51</f>
        <v>21.1</v>
      </c>
      <c r="D23" s="50">
        <f>[13]T13_Age!$J21</f>
        <v>22.4</v>
      </c>
    </row>
    <row r="24" ht="17.25" customHeight="1" spans="1:4">
      <c r="A24" s="69"/>
      <c r="B24" s="49" t="s">
        <v>165</v>
      </c>
      <c r="C24" s="50">
        <f>[13]T13_Age!$J52</f>
        <v>32.2</v>
      </c>
      <c r="D24" s="50">
        <f>[13]T13_Age!$J22</f>
        <v>28.5</v>
      </c>
    </row>
    <row r="25" ht="17.25" customHeight="1" spans="1:4">
      <c r="A25" s="69"/>
      <c r="B25" s="49" t="s">
        <v>166</v>
      </c>
      <c r="C25" s="50">
        <f>[13]T13_Age!$J53</f>
        <v>25.9</v>
      </c>
      <c r="D25" s="50">
        <f>[13]T13_Age!$J23</f>
        <v>25.4</v>
      </c>
    </row>
    <row r="26" ht="17.25" customHeight="1" spans="1:4">
      <c r="A26" s="69"/>
      <c r="B26" s="49" t="s">
        <v>167</v>
      </c>
      <c r="C26" s="50">
        <f>[13]T13_Age!$J54</f>
        <v>20.8</v>
      </c>
      <c r="D26" s="50">
        <f>[13]T13_Age!$J24</f>
        <v>23.7</v>
      </c>
    </row>
    <row r="27" ht="15" customHeight="1" spans="1:4">
      <c r="A27" s="64"/>
      <c r="B27" s="64"/>
      <c r="C27" s="64"/>
      <c r="D27" s="64"/>
    </row>
    <row r="28" ht="18" customHeight="1" spans="1:4">
      <c r="A28" s="73"/>
      <c r="B28" s="38" t="s">
        <v>170</v>
      </c>
      <c r="C28" s="8">
        <f>Master!A1</f>
        <v>2024</v>
      </c>
      <c r="D28" s="8">
        <f>Master!A2</f>
        <v>2025</v>
      </c>
    </row>
    <row r="29" ht="18" customHeight="1" spans="1:4">
      <c r="A29" s="74"/>
      <c r="B29" s="41"/>
      <c r="C29" s="65" t="s">
        <v>162</v>
      </c>
      <c r="D29" s="65"/>
    </row>
    <row r="30" ht="8.1" customHeight="1" spans="1:4">
      <c r="A30" s="42"/>
      <c r="B30" s="43"/>
      <c r="C30" s="3"/>
      <c r="D30" s="3"/>
    </row>
    <row r="31" ht="17.25" customHeight="1" spans="1:4">
      <c r="A31" s="44" t="s">
        <v>94</v>
      </c>
      <c r="B31" s="75"/>
      <c r="C31" s="46">
        <f>SUM(C32:C35)</f>
        <v>100</v>
      </c>
      <c r="D31" s="46">
        <f>SUM(D32:D35)</f>
        <v>100</v>
      </c>
    </row>
    <row r="32" ht="17.25" customHeight="1" spans="1:4">
      <c r="A32" s="69"/>
      <c r="B32" s="49" t="s">
        <v>171</v>
      </c>
      <c r="C32" s="50">
        <f>[13]T13_Ethnic!$J16</f>
        <v>87.7</v>
      </c>
      <c r="D32" s="50">
        <f>[13]T13_Ethnic!$J6</f>
        <v>78.8</v>
      </c>
    </row>
    <row r="33" ht="17.25" customHeight="1" spans="1:4">
      <c r="A33" s="76"/>
      <c r="B33" s="49" t="s">
        <v>172</v>
      </c>
      <c r="C33" s="50">
        <f>[13]T13_Ethnic!$J17</f>
        <v>10.5</v>
      </c>
      <c r="D33" s="50">
        <f>[13]T13_Ethnic!$J7</f>
        <v>15</v>
      </c>
    </row>
    <row r="34" ht="17.25" customHeight="1" spans="1:4">
      <c r="A34" s="76"/>
      <c r="B34" s="49" t="s">
        <v>173</v>
      </c>
      <c r="C34" s="50">
        <f>[13]T13_Ethnic!$J18</f>
        <v>1.3</v>
      </c>
      <c r="D34" s="50">
        <f>[13]T13_Ethnic!$J8</f>
        <v>4.8</v>
      </c>
    </row>
    <row r="35" ht="17.25" customHeight="1" spans="1:4">
      <c r="A35" s="76"/>
      <c r="B35" s="49" t="s">
        <v>174</v>
      </c>
      <c r="C35" s="50">
        <f>[13]T13_Ethnic!$J19</f>
        <v>0.5</v>
      </c>
      <c r="D35" s="50">
        <f>[13]T13_Ethnic!$J9</f>
        <v>1.4</v>
      </c>
    </row>
    <row r="36" ht="15" customHeight="1" spans="1:4">
      <c r="A36" s="77"/>
      <c r="B36" s="63"/>
      <c r="C36" s="63"/>
      <c r="D36" s="78"/>
    </row>
    <row r="37" ht="18" customHeight="1" spans="1:4">
      <c r="A37" s="79"/>
      <c r="B37" s="38" t="s">
        <v>175</v>
      </c>
      <c r="C37" s="8">
        <f>Master!A1</f>
        <v>2024</v>
      </c>
      <c r="D37" s="8">
        <f>Master!A2</f>
        <v>2025</v>
      </c>
    </row>
    <row r="38" ht="18" customHeight="1" spans="1:4">
      <c r="A38" s="80"/>
      <c r="B38" s="41"/>
      <c r="C38" s="65" t="s">
        <v>162</v>
      </c>
      <c r="D38" s="65"/>
    </row>
    <row r="39" ht="8.1" customHeight="1" spans="1:4">
      <c r="A39" s="81"/>
      <c r="B39" s="43"/>
      <c r="C39" s="3"/>
      <c r="D39" s="3"/>
    </row>
    <row r="40" ht="17.25" customHeight="1" spans="1:4">
      <c r="A40" s="44" t="s">
        <v>94</v>
      </c>
      <c r="B40" s="75"/>
      <c r="C40" s="82">
        <f>SUM(C41:C44)</f>
        <v>100</v>
      </c>
      <c r="D40" s="82">
        <f>SUM(D41:D44)</f>
        <v>100</v>
      </c>
    </row>
    <row r="41" ht="17.25" customHeight="1" spans="1:4">
      <c r="A41" s="83"/>
      <c r="B41" s="49" t="s">
        <v>176</v>
      </c>
      <c r="C41" s="50">
        <f>[13]T13_Edu!$J17</f>
        <v>31.8</v>
      </c>
      <c r="D41" s="50">
        <f>[13]T13_Edu!$J7</f>
        <v>30.2</v>
      </c>
    </row>
    <row r="42" ht="17.25" customHeight="1" spans="1:4">
      <c r="A42" s="76"/>
      <c r="B42" s="49" t="s">
        <v>177</v>
      </c>
      <c r="C42" s="50">
        <f>[13]T13_Edu!$J18</f>
        <v>57.7</v>
      </c>
      <c r="D42" s="50">
        <f>[13]T13_Edu!$J8</f>
        <v>55.3</v>
      </c>
    </row>
    <row r="43" ht="17.25" customHeight="1" spans="1:4">
      <c r="A43" s="76"/>
      <c r="B43" s="49" t="s">
        <v>178</v>
      </c>
      <c r="C43" s="50">
        <f>[13]T13_Edu!$J19</f>
        <v>8.1</v>
      </c>
      <c r="D43" s="50">
        <f>[13]T13_Edu!$J9</f>
        <v>10.8</v>
      </c>
    </row>
    <row r="44" ht="35.25" customHeight="1" spans="1:4">
      <c r="A44" s="76"/>
      <c r="B44" s="49" t="s">
        <v>179</v>
      </c>
      <c r="C44" s="50">
        <f>[13]T13_Edu!$J20</f>
        <v>2.4</v>
      </c>
      <c r="D44" s="50">
        <f>[13]T13_Edu!$J10</f>
        <v>3.7</v>
      </c>
    </row>
    <row r="45" ht="15" customHeight="1" spans="1:4">
      <c r="A45" s="77"/>
      <c r="B45" s="63"/>
      <c r="C45" s="63"/>
      <c r="D45" s="78"/>
    </row>
    <row r="46" ht="18" customHeight="1" spans="1:4">
      <c r="A46" s="84"/>
      <c r="B46" s="49"/>
      <c r="C46" s="49"/>
      <c r="D46" s="3"/>
    </row>
    <row r="47" ht="15" customHeight="1" spans="1:4">
      <c r="A47" s="84"/>
      <c r="B47" s="66"/>
      <c r="C47" s="66"/>
      <c r="D47" s="3"/>
    </row>
    <row r="48" ht="17.25" customHeight="1" spans="1:4">
      <c r="A48" s="83"/>
      <c r="B48" s="75"/>
      <c r="C48" s="75"/>
      <c r="D48" s="85"/>
    </row>
    <row r="49" ht="17.25" customHeight="1" spans="1:4">
      <c r="A49" s="83"/>
      <c r="B49" s="49"/>
      <c r="C49" s="49"/>
      <c r="D49" s="86"/>
    </row>
    <row r="50" ht="17.25" customHeight="1" spans="1:4">
      <c r="A50" s="87"/>
      <c r="B50" s="49"/>
      <c r="C50" s="49"/>
      <c r="D50" s="86"/>
    </row>
    <row r="51" ht="17.25" customHeight="1" spans="1:4">
      <c r="A51" s="87"/>
      <c r="B51" s="49"/>
      <c r="C51" s="49"/>
      <c r="D51" s="86"/>
    </row>
    <row r="52" ht="17.25" customHeight="1" spans="1:4">
      <c r="A52" s="87"/>
      <c r="B52" s="49"/>
      <c r="C52" s="49"/>
      <c r="D52" s="86"/>
    </row>
    <row r="53" ht="17.25" customHeight="1" spans="1:4">
      <c r="A53" s="87"/>
      <c r="B53" s="49"/>
      <c r="C53" s="49"/>
      <c r="D53" s="86"/>
    </row>
    <row r="54" ht="15" customHeight="1"/>
    <row r="55" ht="15" customHeight="1" spans="1:4">
      <c r="B55" s="72"/>
      <c r="C55" s="72"/>
    </row>
    <row r="56" spans="1:4">
      <c r="A56" s="88"/>
      <c r="B56" s="89"/>
      <c r="C56" s="89"/>
      <c r="D56" s="3"/>
    </row>
    <row r="57" spans="1:4">
      <c r="A57" s="88"/>
      <c r="B57" s="90"/>
      <c r="C57" s="90"/>
      <c r="D57" s="3"/>
    </row>
    <row r="58" ht="15" customHeight="1" spans="1:4">
      <c r="A58" s="83"/>
      <c r="B58" s="75"/>
      <c r="C58" s="75"/>
      <c r="D58" s="91"/>
    </row>
    <row r="59" ht="30" customHeight="1" spans="1:4">
      <c r="A59" s="83"/>
      <c r="B59" s="49"/>
      <c r="C59" s="49"/>
      <c r="D59" s="91"/>
    </row>
    <row r="60" ht="30" customHeight="1" spans="1:4">
      <c r="A60" s="76"/>
      <c r="B60" s="49"/>
      <c r="C60" s="49"/>
      <c r="D60" s="92"/>
    </row>
    <row r="61" ht="30" customHeight="1" spans="1:4">
      <c r="A61" s="76"/>
      <c r="B61" s="49"/>
      <c r="C61" s="49"/>
      <c r="D61" s="92"/>
    </row>
    <row r="62" ht="30" customHeight="1" spans="1:4">
      <c r="A62" s="76"/>
      <c r="B62" s="49"/>
      <c r="C62" s="49"/>
      <c r="D62" s="92"/>
    </row>
    <row r="63" ht="30" customHeight="1" spans="1:4">
      <c r="A63" s="76"/>
      <c r="B63" s="49"/>
      <c r="C63" s="49"/>
      <c r="D63" s="92"/>
    </row>
    <row r="64" ht="30" customHeight="1" spans="1:4">
      <c r="A64" s="76"/>
      <c r="B64" s="49"/>
      <c r="C64" s="49"/>
      <c r="D64" s="92"/>
    </row>
    <row r="65" ht="30" customHeight="1" spans="1:4">
      <c r="A65" s="76"/>
      <c r="B65" s="49"/>
      <c r="C65" s="49"/>
      <c r="D65" s="91"/>
    </row>
    <row r="66" ht="30" customHeight="1" spans="1:4">
      <c r="A66" s="76"/>
      <c r="B66" s="49"/>
      <c r="C66" s="49"/>
      <c r="D66" s="92"/>
    </row>
    <row r="67" ht="30" customHeight="1" spans="1:4">
      <c r="A67" s="76"/>
      <c r="B67" s="49"/>
      <c r="C67" s="49"/>
      <c r="D67" s="92"/>
    </row>
    <row r="68" ht="30" customHeight="1" spans="1:4">
      <c r="A68" s="76"/>
      <c r="B68" s="49"/>
      <c r="C68" s="49"/>
      <c r="D68" s="92"/>
    </row>
    <row r="69" ht="30" customHeight="1" spans="1:4">
      <c r="A69" s="76"/>
      <c r="B69" s="49"/>
      <c r="C69" s="49"/>
      <c r="D69" s="92"/>
    </row>
    <row r="70" spans="1:4">
      <c r="A70" s="84"/>
      <c r="B70" s="49"/>
      <c r="C70" s="49"/>
      <c r="D70" s="69"/>
    </row>
    <row r="73" spans="1:4">
      <c r="B73" s="93"/>
      <c r="C73" s="93"/>
      <c r="D73" s="93"/>
    </row>
    <row r="74" spans="1:4">
      <c r="B74" s="93"/>
      <c r="C74" s="93"/>
      <c r="D74" s="93"/>
    </row>
    <row r="75" spans="1:4">
      <c r="B75" s="93"/>
      <c r="C75" s="93"/>
      <c r="D75" s="94"/>
    </row>
    <row r="76" spans="1:4">
      <c r="B76" s="95"/>
      <c r="C76" s="95"/>
      <c r="D76" s="95"/>
    </row>
    <row r="77" spans="1:4">
      <c r="B77" s="95"/>
      <c r="C77" s="95"/>
      <c r="D77" s="95"/>
    </row>
    <row r="78" spans="1:4">
      <c r="B78" s="95"/>
      <c r="C78" s="95"/>
      <c r="D78" s="95"/>
    </row>
    <row r="79" spans="1:4">
      <c r="B79" s="95"/>
      <c r="C79" s="95"/>
      <c r="D79" s="95"/>
    </row>
    <row r="82" spans="1:4">
      <c r="A82" s="96"/>
      <c r="B82" s="97"/>
      <c r="C82" s="97"/>
      <c r="D82" s="97"/>
    </row>
    <row r="83" spans="1:4">
      <c r="A83" s="96"/>
      <c r="B83" s="97"/>
      <c r="C83" s="97"/>
      <c r="D83" s="97"/>
    </row>
    <row r="84" spans="1:4">
      <c r="A84" s="96"/>
      <c r="B84" s="97"/>
      <c r="C84" s="97"/>
      <c r="D84" s="97"/>
    </row>
    <row r="85" spans="1:4">
      <c r="A85" s="96"/>
      <c r="B85" s="97"/>
      <c r="C85" s="97"/>
      <c r="D85" s="97"/>
    </row>
    <row r="86" spans="1:4">
      <c r="A86" s="96"/>
    </row>
    <row r="88" spans="1:4">
      <c r="A88" s="96"/>
      <c r="B88" s="97"/>
      <c r="C88" s="97"/>
      <c r="D88" s="97"/>
    </row>
    <row r="89" spans="1:4">
      <c r="A89" s="96"/>
      <c r="B89" s="97"/>
      <c r="C89" s="97"/>
      <c r="D89" s="97"/>
    </row>
    <row r="90" spans="1:4">
      <c r="A90" s="96"/>
      <c r="B90" s="97"/>
      <c r="C90" s="97"/>
      <c r="D90" s="97"/>
    </row>
    <row r="91" spans="1:4">
      <c r="A91" s="96"/>
      <c r="B91" s="97"/>
      <c r="C91" s="97"/>
      <c r="D91" s="97"/>
    </row>
    <row r="94" spans="1:4">
      <c r="A94" s="96"/>
      <c r="B94" s="97"/>
      <c r="C94" s="97"/>
      <c r="D94" s="97"/>
    </row>
    <row r="95" spans="1:4">
      <c r="A95" s="96"/>
      <c r="B95" s="97"/>
      <c r="C95" s="97"/>
      <c r="D95" s="97"/>
    </row>
    <row r="96" spans="1:4">
      <c r="A96" s="96"/>
      <c r="B96" s="97"/>
      <c r="C96" s="97"/>
      <c r="D96" s="97"/>
    </row>
    <row r="97" spans="1:4">
      <c r="A97" s="96"/>
      <c r="B97" s="97"/>
      <c r="C97" s="97"/>
      <c r="D97" s="97"/>
    </row>
  </sheetData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zoomScaleSheetLayoutView="130" workbookViewId="0">
      <selection activeCell="A1" sqref="A1:D1"/>
    </sheetView>
  </sheetViews>
  <sheetFormatPr defaultColWidth="9" defaultRowHeight="14.4" outlineLevelCol="5"/>
  <cols>
    <col min="1" max="1" width="16.6666666666667" style="2" customWidth="1"/>
    <col min="2" max="2" width="37.6666666666667" style="1" customWidth="1"/>
    <col min="3" max="4" width="16.6666666666667" style="30" customWidth="1"/>
    <col min="5" max="6" width="7.88888888888889" style="2" customWidth="1"/>
    <col min="7" max="16384" width="9" style="2"/>
  </cols>
  <sheetData>
    <row r="1" ht="15" customHeight="1" spans="1:6">
      <c r="A1" s="3" t="str">
        <f>Tajuk!B27</f>
        <v>Jadual 13: Profil sosial &amp; demografi pelawat domestik ke Perlis, 2024 dan 2025 (samb.)</v>
      </c>
      <c r="B1" s="3"/>
      <c r="C1" s="31"/>
      <c r="D1" s="31"/>
    </row>
    <row r="2" ht="18" customHeight="1" spans="1:6">
      <c r="A2" s="4" t="str">
        <f>Tajuk!B28</f>
        <v>Table 13: Social &amp; demographic profiles of domestic visitors to Perlis, 2024 and 2025 (cont'd.)</v>
      </c>
      <c r="B2" s="4"/>
      <c r="C2" s="32"/>
      <c r="D2" s="32"/>
    </row>
    <row r="3" ht="6" customHeight="1" spans="1:6">
      <c r="A3" s="33"/>
      <c r="B3" s="33"/>
      <c r="C3" s="34"/>
      <c r="D3" s="34"/>
      <c r="E3" s="35"/>
      <c r="F3" s="36"/>
    </row>
    <row r="4" ht="18" customHeight="1" spans="1:6">
      <c r="A4" s="37"/>
      <c r="B4" s="38" t="s">
        <v>180</v>
      </c>
      <c r="C4" s="39">
        <f>Master!A1</f>
        <v>2024</v>
      </c>
      <c r="D4" s="39">
        <f>Master!A2</f>
        <v>2025</v>
      </c>
    </row>
    <row r="5" ht="18" customHeight="1" spans="1:6">
      <c r="A5" s="40"/>
      <c r="B5" s="41"/>
      <c r="C5" s="34" t="s">
        <v>181</v>
      </c>
      <c r="D5" s="34"/>
    </row>
    <row r="6" ht="8.1" customHeight="1" spans="1:6">
      <c r="A6" s="42"/>
      <c r="B6" s="43"/>
      <c r="C6" s="31"/>
      <c r="D6" s="31"/>
    </row>
    <row r="7" ht="17.25" customHeight="1" spans="1:6">
      <c r="A7" s="44" t="s">
        <v>94</v>
      </c>
      <c r="B7" s="45"/>
      <c r="C7" s="46">
        <f>SUM(C8:C12)</f>
        <v>100</v>
      </c>
      <c r="D7" s="46">
        <f>SUM(D8:D12)</f>
        <v>100</v>
      </c>
      <c r="E7" s="47"/>
      <c r="F7" s="47"/>
    </row>
    <row r="8" ht="17.25" customHeight="1" spans="1:6">
      <c r="A8" s="48"/>
      <c r="B8" s="49" t="s">
        <v>182</v>
      </c>
      <c r="C8" s="50">
        <f>[13]T13_Income!$J15</f>
        <v>3.4</v>
      </c>
      <c r="D8" s="50">
        <f>[13]T13_Income!$J5</f>
        <v>3.9</v>
      </c>
      <c r="E8" s="51"/>
      <c r="F8" s="51"/>
    </row>
    <row r="9" ht="17.25" customHeight="1" spans="1:6">
      <c r="A9" s="43"/>
      <c r="B9" s="49" t="s">
        <v>183</v>
      </c>
      <c r="C9" s="50">
        <f>[13]T13_Income!$J16</f>
        <v>32.4</v>
      </c>
      <c r="D9" s="50">
        <f>[13]T13_Income!$J6</f>
        <v>32.7</v>
      </c>
      <c r="E9" s="51"/>
      <c r="F9" s="51"/>
    </row>
    <row r="10" ht="17.25" customHeight="1" spans="1:6">
      <c r="A10" s="52"/>
      <c r="B10" s="49" t="s">
        <v>184</v>
      </c>
      <c r="C10" s="50">
        <f>[13]T13_Income!$J17</f>
        <v>25.4</v>
      </c>
      <c r="D10" s="50">
        <f>[13]T13_Income!$J7</f>
        <v>25.4</v>
      </c>
      <c r="E10" s="51"/>
      <c r="F10" s="51"/>
    </row>
    <row r="11" ht="17.25" customHeight="1" spans="1:6">
      <c r="A11" s="52"/>
      <c r="B11" s="49" t="s">
        <v>185</v>
      </c>
      <c r="C11" s="50">
        <f>[13]T13_Income!$J18</f>
        <v>29.4</v>
      </c>
      <c r="D11" s="50">
        <f>[13]T13_Income!$J8</f>
        <v>28.9</v>
      </c>
      <c r="E11" s="51"/>
      <c r="F11" s="51"/>
    </row>
    <row r="12" ht="17.25" customHeight="1" spans="1:6">
      <c r="A12" s="52"/>
      <c r="B12" s="49" t="s">
        <v>186</v>
      </c>
      <c r="C12" s="50">
        <f>[13]T13_Income!$J19</f>
        <v>9.4</v>
      </c>
      <c r="D12" s="50">
        <f>[13]T13_Income!$J9</f>
        <v>9.1</v>
      </c>
      <c r="E12" s="51"/>
      <c r="F12" s="51"/>
    </row>
    <row r="13" ht="15" customHeight="1" spans="1:6">
      <c r="A13" s="33"/>
      <c r="B13" s="33"/>
      <c r="C13" s="53"/>
      <c r="D13" s="53"/>
    </row>
    <row r="14" ht="18" customHeight="1" spans="1:6">
      <c r="A14" s="54"/>
      <c r="B14" s="38" t="s">
        <v>187</v>
      </c>
      <c r="C14" s="39">
        <f>Master!A1</f>
        <v>2024</v>
      </c>
      <c r="D14" s="39">
        <f>Master!A2</f>
        <v>2025</v>
      </c>
    </row>
    <row r="15" ht="18" customHeight="1" spans="1:6">
      <c r="A15" s="55"/>
      <c r="B15" s="41"/>
      <c r="C15" s="34" t="s">
        <v>181</v>
      </c>
      <c r="D15" s="34"/>
    </row>
    <row r="16" ht="8.1" customHeight="1" spans="1:6">
      <c r="A16" s="42"/>
      <c r="B16" s="43"/>
      <c r="C16" s="31"/>
      <c r="D16" s="31"/>
    </row>
    <row r="17" ht="17.25" customHeight="1" spans="1:6">
      <c r="A17" s="44" t="s">
        <v>94</v>
      </c>
      <c r="B17" s="45"/>
      <c r="C17" s="46">
        <f>C18+C24</f>
        <v>100</v>
      </c>
      <c r="D17" s="46">
        <f>D18+D24</f>
        <v>100</v>
      </c>
      <c r="E17" s="47"/>
      <c r="F17" s="47"/>
    </row>
    <row r="18" ht="36" customHeight="1" spans="1:6">
      <c r="A18" s="48"/>
      <c r="B18" s="49" t="s">
        <v>188</v>
      </c>
      <c r="C18" s="46">
        <f>SUM(C19:C23)</f>
        <v>55</v>
      </c>
      <c r="D18" s="46">
        <f>SUM(D19:D23)</f>
        <v>54.5</v>
      </c>
      <c r="E18" s="56">
        <f>[13]T13_Employment!$J26</f>
        <v>55</v>
      </c>
      <c r="F18" s="56">
        <f>[13]T13_Employment!$J6</f>
        <v>54.5</v>
      </c>
    </row>
    <row r="19" ht="36" customHeight="1" spans="1:6">
      <c r="A19" s="57"/>
      <c r="B19" s="58" t="s">
        <v>189</v>
      </c>
      <c r="C19" s="50">
        <f>[13]T13_Employment!$J27</f>
        <v>15.8</v>
      </c>
      <c r="D19" s="50">
        <f>[13]T13_Employment!$J7</f>
        <v>12.5</v>
      </c>
      <c r="E19" s="51"/>
      <c r="F19" s="51"/>
    </row>
    <row r="20" ht="36" customHeight="1" spans="1:6">
      <c r="A20" s="57"/>
      <c r="B20" s="58" t="s">
        <v>190</v>
      </c>
      <c r="C20" s="50">
        <f>[13]T13_Employment!$J28</f>
        <v>3.9</v>
      </c>
      <c r="D20" s="50">
        <f>[13]T13_Employment!$J8</f>
        <v>1.6</v>
      </c>
      <c r="E20" s="51"/>
      <c r="F20" s="51"/>
    </row>
    <row r="21" ht="36" customHeight="1" spans="1:6">
      <c r="A21" s="57"/>
      <c r="B21" s="58" t="s">
        <v>191</v>
      </c>
      <c r="C21" s="50">
        <f>[13]T13_Employment!$J29</f>
        <v>20.5</v>
      </c>
      <c r="D21" s="50">
        <f>[13]T13_Employment!$J9</f>
        <v>21</v>
      </c>
      <c r="E21" s="51"/>
      <c r="F21" s="51"/>
    </row>
    <row r="22" ht="36" customHeight="1" spans="1:6">
      <c r="A22" s="57"/>
      <c r="B22" s="58" t="s">
        <v>192</v>
      </c>
      <c r="C22" s="50">
        <f>[13]T13_Employment!$J30</f>
        <v>8.1</v>
      </c>
      <c r="D22" s="50">
        <f>[13]T13_Employment!$J10</f>
        <v>8.7</v>
      </c>
      <c r="E22" s="51"/>
      <c r="F22" s="51"/>
    </row>
    <row r="23" ht="36" customHeight="1" spans="1:6">
      <c r="A23" s="57"/>
      <c r="B23" s="58" t="s">
        <v>193</v>
      </c>
      <c r="C23" s="50">
        <f>[13]T13_Employment!$J31</f>
        <v>6.7</v>
      </c>
      <c r="D23" s="50">
        <f>[13]T13_Employment!$J11</f>
        <v>10.7</v>
      </c>
      <c r="E23" s="51"/>
      <c r="F23" s="51"/>
    </row>
    <row r="24" ht="36" customHeight="1" spans="1:6">
      <c r="A24" s="57"/>
      <c r="B24" s="59" t="s">
        <v>194</v>
      </c>
      <c r="C24" s="46">
        <f>SUM(C25:C28)</f>
        <v>45</v>
      </c>
      <c r="D24" s="46">
        <f>SUM(D25:D28)</f>
        <v>45.5</v>
      </c>
      <c r="E24" s="56">
        <f>[13]T13_Employment!$J32</f>
        <v>45</v>
      </c>
      <c r="F24" s="56">
        <f>[13]T13_Employment!$J12</f>
        <v>45.5</v>
      </c>
    </row>
    <row r="25" ht="36" customHeight="1" spans="1:6">
      <c r="A25" s="57"/>
      <c r="B25" s="58" t="s">
        <v>195</v>
      </c>
      <c r="C25" s="50">
        <f>[13]T13_Employment!$J33</f>
        <v>7.5</v>
      </c>
      <c r="D25" s="50">
        <f>[13]T13_Employment!$J13</f>
        <v>8.9</v>
      </c>
      <c r="E25" s="51"/>
      <c r="F25" s="51"/>
    </row>
    <row r="26" ht="36" customHeight="1" spans="1:6">
      <c r="A26" s="57"/>
      <c r="B26" s="58" t="s">
        <v>196</v>
      </c>
      <c r="C26" s="50">
        <f>[13]T13_Employment!$J34</f>
        <v>7.5</v>
      </c>
      <c r="D26" s="50">
        <f>[13]T13_Employment!$J14</f>
        <v>4.9</v>
      </c>
      <c r="E26" s="51"/>
      <c r="F26" s="51"/>
    </row>
    <row r="27" ht="36" customHeight="1" spans="1:6">
      <c r="A27" s="57"/>
      <c r="B27" s="58" t="s">
        <v>197</v>
      </c>
      <c r="C27" s="50">
        <f>[13]T13_Employment!$J35</f>
        <v>11</v>
      </c>
      <c r="D27" s="50">
        <f>[13]T13_Employment!$J15</f>
        <v>13.9</v>
      </c>
      <c r="E27" s="51"/>
      <c r="F27" s="51"/>
    </row>
    <row r="28" ht="36" customHeight="1" spans="1:6">
      <c r="A28" s="57"/>
      <c r="B28" s="58" t="s">
        <v>198</v>
      </c>
      <c r="C28" s="50">
        <f>[13]T13_Employment!$J36</f>
        <v>19</v>
      </c>
      <c r="D28" s="50">
        <f>[13]T13_Employment!$J16</f>
        <v>17.8</v>
      </c>
      <c r="E28" s="51"/>
      <c r="F28" s="51"/>
    </row>
    <row r="29" ht="15" customHeight="1" spans="1:6">
      <c r="A29" s="60"/>
      <c r="B29" s="60"/>
      <c r="C29" s="61"/>
      <c r="D29" s="61"/>
    </row>
    <row r="30" spans="1:6">
      <c r="A30" s="1"/>
    </row>
    <row r="31" spans="1:6">
      <c r="A31" s="1"/>
    </row>
    <row r="32" spans="1:6">
      <c r="A32" s="1"/>
    </row>
  </sheetData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view="pageBreakPreview" zoomScaleNormal="100" workbookViewId="0">
      <selection activeCell="A1" sqref="A1:G1"/>
    </sheetView>
  </sheetViews>
  <sheetFormatPr defaultColWidth="9" defaultRowHeight="14.4"/>
  <cols>
    <col min="1" max="1" width="26.6666666666667" style="1" customWidth="1"/>
    <col min="2" max="2" width="8.55555555555556" style="1" customWidth="1"/>
    <col min="3" max="3" width="12.6666666666667" style="1" customWidth="1"/>
    <col min="4" max="5" width="8.55555555555556" style="1" customWidth="1"/>
    <col min="6" max="6" width="12.6666666666667" style="1" customWidth="1"/>
    <col min="7" max="7" width="6.66666666666667" style="1" customWidth="1"/>
    <col min="8" max="9" width="9.11111111111111" style="1"/>
    <col min="10" max="11" width="9" style="1"/>
    <col min="12" max="16384" width="9" style="2"/>
  </cols>
  <sheetData>
    <row r="1" ht="15" customHeight="1" spans="1:7">
      <c r="A1" s="3" t="str">
        <f>Tajuk!B29</f>
        <v>Jadual 14: Hotel dan bilik di Perlis mengikut penarafan bintang, 2025</v>
      </c>
      <c r="B1" s="3"/>
      <c r="C1" s="3"/>
      <c r="D1" s="3"/>
      <c r="E1" s="3"/>
      <c r="F1" s="3"/>
      <c r="G1" s="3"/>
    </row>
    <row r="2" ht="15" customHeight="1" spans="1:7">
      <c r="A2" s="4" t="str">
        <f>Tajuk!B30</f>
        <v>Table 14: Hotel and room in Perlis by star rating, 2025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199</v>
      </c>
      <c r="B4" s="7"/>
      <c r="C4" s="8" t="s">
        <v>200</v>
      </c>
      <c r="D4" s="8"/>
      <c r="E4" s="7"/>
      <c r="F4" s="8" t="s">
        <v>201</v>
      </c>
      <c r="G4" s="7"/>
    </row>
    <row r="5" ht="30" customHeight="1" spans="1:7">
      <c r="A5" s="9" t="s">
        <v>202</v>
      </c>
      <c r="B5" s="10"/>
      <c r="C5" s="11">
        <f>'[13]J14&amp;15'!$J56</f>
        <v>0</v>
      </c>
      <c r="D5" s="12"/>
      <c r="E5" s="12"/>
      <c r="F5" s="11">
        <f>'[13]J14&amp;15'!$J67</f>
        <v>0</v>
      </c>
    </row>
    <row r="6" ht="30" customHeight="1" spans="1:7">
      <c r="A6" s="9" t="s">
        <v>203</v>
      </c>
      <c r="B6" s="10"/>
      <c r="C6" s="11">
        <f>'[13]J14&amp;15'!$J57</f>
        <v>1</v>
      </c>
      <c r="D6" s="13"/>
      <c r="E6" s="13"/>
      <c r="F6" s="11">
        <f>'[13]J14&amp;15'!$J68</f>
        <v>145</v>
      </c>
    </row>
    <row r="7" ht="30" customHeight="1" spans="1:7">
      <c r="A7" s="9" t="s">
        <v>204</v>
      </c>
      <c r="B7" s="10"/>
      <c r="C7" s="11">
        <f>'[13]J14&amp;15'!$J58</f>
        <v>3</v>
      </c>
      <c r="D7" s="13"/>
      <c r="E7" s="13"/>
      <c r="F7" s="11">
        <f>'[13]J14&amp;15'!$J69</f>
        <v>241</v>
      </c>
    </row>
    <row r="8" ht="30" customHeight="1" spans="1:7">
      <c r="A8" s="9" t="s">
        <v>205</v>
      </c>
      <c r="B8" s="10"/>
      <c r="C8" s="11">
        <f>'[13]J14&amp;15'!$J59</f>
        <v>4</v>
      </c>
      <c r="D8" s="13"/>
      <c r="E8" s="13"/>
      <c r="F8" s="11">
        <f>'[13]J14&amp;15'!$J70</f>
        <v>163</v>
      </c>
    </row>
    <row r="9" ht="30" customHeight="1" spans="1:7">
      <c r="A9" s="9" t="s">
        <v>206</v>
      </c>
      <c r="B9" s="10"/>
      <c r="C9" s="11">
        <f>'[13]J14&amp;15'!$J60</f>
        <v>5</v>
      </c>
      <c r="D9" s="13"/>
      <c r="E9" s="13"/>
      <c r="F9" s="11">
        <f>'[13]J14&amp;15'!$J71</f>
        <v>203</v>
      </c>
    </row>
    <row r="10" ht="30" customHeight="1" spans="1:7">
      <c r="A10" s="9" t="s">
        <v>207</v>
      </c>
      <c r="B10" s="10"/>
      <c r="C10" s="11">
        <f>'[13]J14&amp;15'!$J61</f>
        <v>2</v>
      </c>
      <c r="D10" s="13"/>
      <c r="E10" s="13"/>
      <c r="F10" s="11">
        <f>'[13]J14&amp;15'!$J72</f>
        <v>29</v>
      </c>
    </row>
    <row r="11" ht="30" customHeight="1" spans="1:7">
      <c r="A11" s="9" t="s">
        <v>208</v>
      </c>
      <c r="B11" s="10"/>
      <c r="C11" s="11">
        <f>'[13]J14&amp;15'!$J62</f>
        <v>5</v>
      </c>
      <c r="D11" s="13"/>
      <c r="E11" s="13"/>
      <c r="F11" s="11">
        <f>'[13]J14&amp;15'!$J73</f>
        <v>130</v>
      </c>
    </row>
    <row r="12" ht="30" customHeight="1" spans="1:7">
      <c r="A12" s="9" t="s">
        <v>209</v>
      </c>
      <c r="B12" s="10"/>
      <c r="C12" s="11">
        <f>'[13]J14&amp;15'!$J63</f>
        <v>2</v>
      </c>
      <c r="D12" s="13"/>
      <c r="E12" s="13"/>
      <c r="F12" s="11">
        <f>'[13]J14&amp;15'!$J74</f>
        <v>40</v>
      </c>
      <c r="G12" s="14"/>
    </row>
    <row r="13" ht="30" customHeight="1" spans="1:7">
      <c r="A13" s="15" t="s">
        <v>210</v>
      </c>
      <c r="B13" s="16"/>
      <c r="C13" s="17">
        <f>'[13]J14&amp;15'!$J64</f>
        <v>11</v>
      </c>
      <c r="D13" s="18"/>
      <c r="E13" s="18"/>
      <c r="F13" s="17">
        <f>'[13]J14&amp;15'!$J75</f>
        <v>370</v>
      </c>
      <c r="G13" s="5"/>
    </row>
    <row r="14" ht="30" customHeight="1" spans="1:7">
      <c r="A14" s="6" t="s">
        <v>94</v>
      </c>
      <c r="B14" s="19"/>
      <c r="C14" s="20">
        <f>SUM(C5:C13)</f>
        <v>33</v>
      </c>
      <c r="D14" s="21"/>
      <c r="E14" s="21"/>
      <c r="F14" s="20">
        <f>SUM(F5:F13)</f>
        <v>1321</v>
      </c>
      <c r="G14" s="22"/>
    </row>
    <row r="16" spans="1:7">
      <c r="G16" s="23" t="s">
        <v>211</v>
      </c>
    </row>
    <row r="17" spans="1:9">
      <c r="G17" s="24" t="s">
        <v>212</v>
      </c>
    </row>
    <row r="18" spans="1:9">
      <c r="G18" s="25"/>
    </row>
    <row r="20" ht="15" customHeight="1" spans="1:9">
      <c r="A20" s="3" t="str">
        <f>Tajuk!B31</f>
        <v>Jadual 15: Hotel dan bilik di Perlis mengikut lokasi, 2025</v>
      </c>
      <c r="B20" s="3"/>
      <c r="C20" s="3"/>
      <c r="D20" s="3"/>
      <c r="E20" s="3"/>
      <c r="F20" s="3"/>
      <c r="G20" s="3"/>
    </row>
    <row r="21" ht="15" customHeight="1" spans="1:9">
      <c r="A21" s="4" t="str">
        <f>Tajuk!B32</f>
        <v>Table 15: Hotel and room in Perlis by location, 2025</v>
      </c>
      <c r="B21" s="4"/>
      <c r="C21" s="4"/>
      <c r="D21" s="4"/>
      <c r="E21" s="4"/>
      <c r="F21" s="4"/>
      <c r="G21" s="4"/>
    </row>
    <row r="22" ht="6" customHeight="1" spans="1:9">
      <c r="A22" s="5"/>
      <c r="B22" s="5"/>
      <c r="C22" s="5"/>
      <c r="D22" s="5"/>
      <c r="E22" s="5"/>
      <c r="F22" s="5"/>
      <c r="G22" s="5"/>
    </row>
    <row r="23" ht="45" customHeight="1" spans="1:9">
      <c r="A23" s="6" t="s">
        <v>213</v>
      </c>
      <c r="B23" s="7"/>
      <c r="C23" s="8" t="s">
        <v>200</v>
      </c>
      <c r="D23" s="8"/>
      <c r="E23" s="7"/>
      <c r="F23" s="8" t="s">
        <v>201</v>
      </c>
      <c r="G23" s="7"/>
    </row>
    <row r="24" ht="30" customHeight="1" spans="1:9">
      <c r="A24" s="9" t="s">
        <v>214</v>
      </c>
      <c r="B24" s="10"/>
      <c r="C24" s="11">
        <f>'[13]J14&amp;15'!$J99</f>
        <v>26</v>
      </c>
      <c r="D24" s="12"/>
      <c r="E24" s="12"/>
      <c r="F24" s="11">
        <f>'[13]J14&amp;15'!$J105</f>
        <v>1015</v>
      </c>
    </row>
    <row r="25" ht="30" customHeight="1" spans="1:9">
      <c r="A25" s="9" t="s">
        <v>215</v>
      </c>
      <c r="B25" s="10"/>
      <c r="C25" s="11">
        <f>'[13]J14&amp;15'!$J100</f>
        <v>2</v>
      </c>
      <c r="D25" s="13"/>
      <c r="E25" s="13"/>
      <c r="F25" s="11">
        <f>'[13]J14&amp;15'!$J106</f>
        <v>150</v>
      </c>
    </row>
    <row r="26" ht="30" customHeight="1" spans="1:9">
      <c r="A26" s="9" t="s">
        <v>216</v>
      </c>
      <c r="B26" s="10"/>
      <c r="C26" s="11">
        <f>'[13]J14&amp;15'!$J101</f>
        <v>0</v>
      </c>
      <c r="D26" s="13"/>
      <c r="E26" s="13"/>
      <c r="F26" s="11">
        <f>'[13]J14&amp;15'!$J107</f>
        <v>0</v>
      </c>
    </row>
    <row r="27" ht="30" customHeight="1" spans="1:9">
      <c r="A27" s="26" t="s">
        <v>174</v>
      </c>
      <c r="B27" s="16"/>
      <c r="C27" s="17">
        <f>'[13]J14&amp;15'!$J102</f>
        <v>5</v>
      </c>
      <c r="D27" s="18"/>
      <c r="E27" s="18"/>
      <c r="F27" s="17">
        <f>'[13]J14&amp;15'!$J108</f>
        <v>156</v>
      </c>
      <c r="G27" s="27"/>
    </row>
    <row r="28" ht="30" customHeight="1" spans="1:9">
      <c r="A28" s="26" t="s">
        <v>94</v>
      </c>
      <c r="B28" s="16"/>
      <c r="C28" s="28">
        <f>SUM(C24:C27)</f>
        <v>33</v>
      </c>
      <c r="D28" s="29"/>
      <c r="E28" s="29"/>
      <c r="F28" s="28">
        <f>SUM(F24:F27)</f>
        <v>1321</v>
      </c>
      <c r="G28" s="5"/>
      <c r="H28" s="10">
        <f>C14</f>
        <v>33</v>
      </c>
      <c r="I28" s="10">
        <f>F14</f>
        <v>1321</v>
      </c>
    </row>
    <row r="30" spans="1:9">
      <c r="G30" s="23" t="s">
        <v>211</v>
      </c>
    </row>
    <row r="31" spans="1:9">
      <c r="G31" s="24" t="s">
        <v>212</v>
      </c>
    </row>
  </sheetData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Tajuk</vt:lpstr>
      <vt:lpstr>Master</vt:lpstr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2022-09-27T10:07:00Z</cp:lastPrinted>
  <dcterms:modified xsi:type="dcterms:W3CDTF">2026-09-15T06:48:59Z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1B0349D1200940A193A2B756C1437697</vt:lpwstr>
  </property>
  <property fmtid="{D5CDD505-2E9C-101B-9397-08002B2CF9AE}" pid="4" name="CalculationRule">
    <vt:i4>0</vt:i4>
  </property>
</Properties>
</file>