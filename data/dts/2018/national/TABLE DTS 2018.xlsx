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65" windowWidth="13500" windowHeight="11175" tabRatio="757"/>
  </bookViews>
  <sheets>
    <sheet name="Jadual 1" sheetId="1" r:id="rId1"/>
    <sheet name="Jadual 2 &amp; 3" sheetId="2" r:id="rId2"/>
    <sheet name="Jadual 4 &amp; 5" sheetId="3" r:id="rId3"/>
    <sheet name="Jadual 6" sheetId="4" r:id="rId4"/>
    <sheet name="Jadual 7" sheetId="5" r:id="rId5"/>
    <sheet name="Jadual 8A" sheetId="12" r:id="rId6"/>
    <sheet name="Jadual 8B" sheetId="14" r:id="rId7"/>
    <sheet name="Jadual 9" sheetId="7" r:id="rId8"/>
    <sheet name="Jadual 10" sheetId="11" r:id="rId9"/>
    <sheet name="Jadual 11 &amp; 12" sheetId="9" r:id="rId10"/>
    <sheet name="Jadual 13" sheetId="10" r:id="rId11"/>
    <sheet name="Jadual 13(2)" sheetId="13" r:id="rId12"/>
  </sheets>
  <definedNames>
    <definedName name="_xlnm.Print_Area" localSheetId="0">'Jadual 1'!$A$1:$J$23</definedName>
    <definedName name="_xlnm.Print_Area" localSheetId="8">'Jadual 10'!$A$1:$T$24</definedName>
    <definedName name="_xlnm.Print_Area" localSheetId="9">'Jadual 11 &amp; 12'!$A$1:$H$35</definedName>
    <definedName name="_xlnm.Print_Area" localSheetId="10">'Jadual 13'!$A$1:$D$45</definedName>
    <definedName name="_xlnm.Print_Area" localSheetId="1">'Jadual 2 &amp; 3'!$A$1:$M$36</definedName>
    <definedName name="_xlnm.Print_Area" localSheetId="2">'Jadual 4 &amp; 5'!$A$1:$I$31</definedName>
    <definedName name="_xlnm.Print_Area" localSheetId="3">'Jadual 6'!$A$1:$E$22</definedName>
    <definedName name="_xlnm.Print_Area" localSheetId="4">'Jadual 7'!$A$1:$F$17</definedName>
    <definedName name="_xlnm.Print_Area" localSheetId="5">'Jadual 8A'!$A$1:$J$13</definedName>
    <definedName name="_xlnm.Print_Area" localSheetId="6">'Jadual 8B'!$A$1:$J$14</definedName>
    <definedName name="_xlnm.Print_Area" localSheetId="7">'Jadual 9'!$A$1:$I$25</definedName>
    <definedName name="_xlnm.Print_Titles" localSheetId="10">'Jadual 13'!$1:$3</definedName>
  </definedNames>
  <calcPr calcId="162913" calcMode="manual"/>
</workbook>
</file>

<file path=xl/calcChain.xml><?xml version="1.0" encoding="utf-8"?>
<calcChain xmlns="http://schemas.openxmlformats.org/spreadsheetml/2006/main">
  <c r="H23" i="2"/>
  <c r="G23"/>
  <c r="C17" i="13" l="1"/>
  <c r="D17"/>
  <c r="G16" i="3" l="1"/>
  <c r="H9" i="9" l="1"/>
  <c r="G9"/>
  <c r="F9"/>
  <c r="D9"/>
  <c r="C9"/>
  <c r="B9"/>
  <c r="H27"/>
  <c r="G27"/>
  <c r="D24" i="13" l="1"/>
  <c r="D18"/>
  <c r="C24"/>
  <c r="C18"/>
  <c r="D40" i="10"/>
  <c r="C40"/>
  <c r="D31"/>
  <c r="C31"/>
  <c r="D22"/>
  <c r="C22"/>
  <c r="D15"/>
  <c r="C15"/>
  <c r="D8"/>
  <c r="C7" i="13"/>
  <c r="D7"/>
  <c r="D24" i="11"/>
  <c r="D23"/>
  <c r="D22"/>
  <c r="D21"/>
  <c r="D20"/>
  <c r="D19"/>
  <c r="D18"/>
  <c r="D17"/>
  <c r="D16"/>
  <c r="M8"/>
  <c r="D15"/>
  <c r="R8"/>
  <c r="F8"/>
  <c r="D14"/>
  <c r="D13"/>
  <c r="D12"/>
  <c r="D11"/>
  <c r="Q8"/>
  <c r="P8"/>
  <c r="O8"/>
  <c r="N8"/>
  <c r="D10"/>
  <c r="E8"/>
  <c r="T8"/>
  <c r="S8"/>
  <c r="K8"/>
  <c r="J8"/>
  <c r="I8"/>
  <c r="H8"/>
  <c r="D9"/>
  <c r="L8"/>
  <c r="G8" l="1"/>
  <c r="D8" s="1"/>
  <c r="H23" i="7" l="1"/>
  <c r="B15" i="5"/>
  <c r="I7" i="1"/>
  <c r="J7"/>
  <c r="B8" i="4" l="1"/>
  <c r="B19" s="1"/>
  <c r="C8"/>
  <c r="C30" i="3"/>
  <c r="C29"/>
  <c r="E28"/>
  <c r="D28"/>
  <c r="I28"/>
  <c r="H28"/>
  <c r="G30"/>
  <c r="G29"/>
  <c r="G17"/>
  <c r="G15" s="1"/>
  <c r="I15"/>
  <c r="H15"/>
  <c r="G13"/>
  <c r="G12"/>
  <c r="I11"/>
  <c r="H11"/>
  <c r="H35" i="2"/>
  <c r="G35"/>
  <c r="H34"/>
  <c r="G34"/>
  <c r="M35"/>
  <c r="L35"/>
  <c r="M34"/>
  <c r="L34"/>
  <c r="L23"/>
  <c r="M28"/>
  <c r="L28"/>
  <c r="M23"/>
  <c r="H28"/>
  <c r="H33" s="1"/>
  <c r="G28"/>
  <c r="G33" s="1"/>
  <c r="F30"/>
  <c r="F29"/>
  <c r="K30"/>
  <c r="K29"/>
  <c r="K25"/>
  <c r="K24"/>
  <c r="F25"/>
  <c r="F24"/>
  <c r="J18" i="1"/>
  <c r="I18"/>
  <c r="H18"/>
  <c r="G18"/>
  <c r="F18"/>
  <c r="E18"/>
  <c r="D18"/>
  <c r="J16"/>
  <c r="I16"/>
  <c r="H16"/>
  <c r="G16"/>
  <c r="F16"/>
  <c r="E16"/>
  <c r="D16"/>
  <c r="J14"/>
  <c r="I14"/>
  <c r="H14"/>
  <c r="G14"/>
  <c r="F14"/>
  <c r="E14"/>
  <c r="D14"/>
  <c r="D12"/>
  <c r="E12"/>
  <c r="F12"/>
  <c r="G12"/>
  <c r="H12"/>
  <c r="I12"/>
  <c r="J12"/>
  <c r="J10"/>
  <c r="D10"/>
  <c r="E10"/>
  <c r="F10"/>
  <c r="G10"/>
  <c r="H10"/>
  <c r="I10"/>
  <c r="F11" i="2"/>
  <c r="F10"/>
  <c r="F9" s="1"/>
  <c r="H9"/>
  <c r="G9"/>
  <c r="K11"/>
  <c r="K10"/>
  <c r="M9"/>
  <c r="L9"/>
  <c r="F35" l="1"/>
  <c r="G28" i="3"/>
  <c r="L33" i="2"/>
  <c r="F28"/>
  <c r="E11"/>
  <c r="F23"/>
  <c r="E24" s="1"/>
  <c r="M33"/>
  <c r="K9"/>
  <c r="J11" s="1"/>
  <c r="E25"/>
  <c r="K34"/>
  <c r="K35"/>
  <c r="J24"/>
  <c r="G11" i="3"/>
  <c r="G9" s="1"/>
  <c r="E10" i="2"/>
  <c r="E9" s="1"/>
  <c r="C28" i="3"/>
  <c r="F34" i="2"/>
  <c r="I9" i="3"/>
  <c r="C19" i="4"/>
  <c r="D11"/>
  <c r="D13"/>
  <c r="D12"/>
  <c r="D14"/>
  <c r="D15"/>
  <c r="D16"/>
  <c r="D8"/>
  <c r="D10"/>
  <c r="D9"/>
  <c r="H9" i="3"/>
  <c r="K28" i="2"/>
  <c r="K23"/>
  <c r="J25" s="1"/>
  <c r="F33" l="1"/>
  <c r="E30"/>
  <c r="E29"/>
  <c r="E23"/>
  <c r="J10"/>
  <c r="J9" s="1"/>
  <c r="J23"/>
  <c r="K33"/>
  <c r="J30"/>
  <c r="J29"/>
  <c r="E14" i="4"/>
  <c r="E12"/>
  <c r="E10"/>
  <c r="E9"/>
  <c r="E13"/>
  <c r="E11"/>
  <c r="E16"/>
  <c r="E15"/>
  <c r="E8"/>
  <c r="D19"/>
  <c r="E28" i="2" l="1"/>
  <c r="J28"/>
  <c r="E19" i="4"/>
  <c r="E15" i="3"/>
  <c r="D15"/>
  <c r="C17"/>
  <c r="C16"/>
  <c r="C12"/>
  <c r="C13"/>
  <c r="E11"/>
  <c r="D11"/>
  <c r="C15" l="1"/>
  <c r="D9"/>
  <c r="E9"/>
  <c r="C11"/>
  <c r="C9" l="1"/>
</calcChain>
</file>

<file path=xl/sharedStrings.xml><?xml version="1.0" encoding="utf-8"?>
<sst xmlns="http://schemas.openxmlformats.org/spreadsheetml/2006/main" count="390" uniqueCount="247">
  <si>
    <t xml:space="preserve">                                          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</si>
  <si>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</si>
  <si>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</si>
  <si>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</si>
  <si>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</si>
  <si>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</si>
  <si>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</si>
  <si>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</si>
  <si>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</si>
  <si>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</si>
  <si>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</si>
  <si>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</si>
  <si>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</si>
  <si>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</si>
  <si>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</si>
  <si>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</si>
  <si>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</si>
  <si>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(%)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</si>
  <si>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</si>
  <si>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</si>
  <si>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</si>
  <si>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</si>
  <si>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</si>
  <si>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</si>
  <si>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</si>
  <si>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</si>
  <si>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('000)</t>
  </si>
  <si>
    <t>Malaysia</t>
  </si>
  <si>
    <t xml:space="preserve"> Selangor</t>
  </si>
  <si>
    <t xml:space="preserve"> </t>
  </si>
  <si>
    <t>(RM)</t>
  </si>
  <si>
    <t>Sex</t>
  </si>
  <si>
    <t>Age group</t>
  </si>
  <si>
    <t>Jantina</t>
  </si>
  <si>
    <t>Kumpulan umur</t>
  </si>
  <si>
    <t>Ethnic group</t>
  </si>
  <si>
    <t>Kumpulan etnik</t>
  </si>
  <si>
    <t>Educational level</t>
  </si>
  <si>
    <t>Taraf pendidikan</t>
  </si>
  <si>
    <t>Pendapatan bulanan isi rumah (RM)</t>
  </si>
  <si>
    <t>Monthly household income</t>
  </si>
  <si>
    <t>Status guna tenaga</t>
  </si>
  <si>
    <t>Employment status</t>
  </si>
  <si>
    <t>Statistik Penting </t>
  </si>
  <si>
    <t>Key Statistics</t>
  </si>
  <si>
    <t>15 - 24</t>
  </si>
  <si>
    <r>
      <t xml:space="preserve">Jumlah Perbelanjaan (RM juta)
</t>
    </r>
    <r>
      <rPr>
        <i/>
        <sz val="9"/>
        <color indexed="8"/>
        <rFont val="Century Gothic"/>
        <family val="2"/>
      </rPr>
      <t>Total Expenditure (RM million)</t>
    </r>
    <r>
      <rPr>
        <b/>
        <i/>
        <sz val="9"/>
        <color indexed="8"/>
        <rFont val="Arial"/>
        <family val="2"/>
      </rPr>
      <t/>
    </r>
  </si>
  <si>
    <r>
      <t xml:space="preserve">Pelawat Domestik
</t>
    </r>
    <r>
      <rPr>
        <i/>
        <sz val="9"/>
        <color indexed="8"/>
        <rFont val="Century Gothic"/>
        <family val="2"/>
      </rPr>
      <t>Domestic Visitors</t>
    </r>
  </si>
  <si>
    <r>
      <t xml:space="preserve">Isi Rumah yang Dilawati
</t>
    </r>
    <r>
      <rPr>
        <i/>
        <sz val="9"/>
        <color indexed="8"/>
        <rFont val="Century Gothic"/>
        <family val="2"/>
      </rPr>
      <t>Visited Households</t>
    </r>
    <r>
      <rPr>
        <i/>
        <sz val="10"/>
        <color indexed="8"/>
        <rFont val="Arial"/>
        <family val="2"/>
      </rPr>
      <t/>
    </r>
  </si>
  <si>
    <r>
      <t xml:space="preserve">Peratus Perubahan Tahunan (%)
</t>
    </r>
    <r>
      <rPr>
        <i/>
        <sz val="9"/>
        <color theme="1"/>
        <rFont val="Century Gothic"/>
        <family val="2"/>
      </rPr>
      <t>Annual Percentage Changes</t>
    </r>
  </si>
  <si>
    <r>
      <t xml:space="preserve">Jumlah Pelawat (’000)
</t>
    </r>
    <r>
      <rPr>
        <i/>
        <sz val="9"/>
        <color indexed="8"/>
        <rFont val="Century Gothic"/>
        <family val="2"/>
      </rPr>
      <t>Number of Visitors</t>
    </r>
  </si>
  <si>
    <r>
      <t xml:space="preserve">Peratus Perubahan Tahunan (%)
</t>
    </r>
    <r>
      <rPr>
        <i/>
        <sz val="9"/>
        <color theme="1"/>
        <rFont val="Century Gothic"/>
        <family val="2"/>
      </rPr>
      <t>Annual Percentage Changes</t>
    </r>
    <r>
      <rPr>
        <b/>
        <i/>
        <sz val="10"/>
        <color theme="1"/>
        <rFont val="Century Gothic"/>
        <family val="2"/>
      </rPr>
      <t xml:space="preserve">     </t>
    </r>
  </si>
  <si>
    <r>
      <t xml:space="preserve">Jumlah Perjalanan Pelancongan (’000)
</t>
    </r>
    <r>
      <rPr>
        <i/>
        <sz val="9"/>
        <color indexed="8"/>
        <rFont val="Century Gothic"/>
        <family val="2"/>
      </rPr>
      <t>Number of Tourism Trips</t>
    </r>
  </si>
  <si>
    <r>
      <t xml:space="preserve">Purata Bilangan Hari Menginap
</t>
    </r>
    <r>
      <rPr>
        <i/>
        <sz val="9"/>
        <color indexed="8"/>
        <rFont val="Century Gothic"/>
        <family val="2"/>
      </rPr>
      <t>Average Length of Stay</t>
    </r>
  </si>
  <si>
    <r>
      <t>Purata Perbelanjaan</t>
    </r>
    <r>
      <rPr>
        <b/>
        <i/>
        <sz val="10"/>
        <color indexed="8"/>
        <rFont val="Century Gothic"/>
        <family val="2"/>
      </rPr>
      <t xml:space="preserve"> </t>
    </r>
    <r>
      <rPr>
        <b/>
        <sz val="10"/>
        <color indexed="8"/>
        <rFont val="Century Gothic"/>
        <family val="2"/>
      </rPr>
      <t>per Perjalanan (RM)</t>
    </r>
    <r>
      <rPr>
        <b/>
        <i/>
        <sz val="10"/>
        <color indexed="8"/>
        <rFont val="Century Gothic"/>
        <family val="2"/>
      </rPr>
      <t xml:space="preserve">                                             
</t>
    </r>
    <r>
      <rPr>
        <i/>
        <sz val="9"/>
        <color indexed="8"/>
        <rFont val="Century Gothic"/>
        <family val="2"/>
      </rPr>
      <t>Average Expenditure per Trip (RM)</t>
    </r>
  </si>
  <si>
    <r>
      <t xml:space="preserve">Peratus Perubahan Tahunan (%)
</t>
    </r>
    <r>
      <rPr>
        <i/>
        <sz val="9"/>
        <color theme="1"/>
        <rFont val="Century Gothic"/>
        <family val="2"/>
      </rPr>
      <t>Annual Percentage Changes</t>
    </r>
    <r>
      <rPr>
        <b/>
        <i/>
        <sz val="9"/>
        <color theme="1"/>
        <rFont val="Arial"/>
        <family val="2"/>
      </rPr>
      <t/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</si>
  <si>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</si>
  <si>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r>
      <t xml:space="preserve">A. Perbelanjaan oleh pelawat
    </t>
    </r>
    <r>
      <rPr>
        <i/>
        <sz val="10"/>
        <color indexed="8"/>
        <rFont val="Century Gothic"/>
        <family val="2"/>
      </rPr>
      <t>Expenditure by visitors</t>
    </r>
  </si>
  <si>
    <r>
      <t xml:space="preserve">Membeli-belah
</t>
    </r>
    <r>
      <rPr>
        <i/>
        <sz val="10"/>
        <color indexed="8"/>
        <rFont val="Century Gothic"/>
        <family val="2"/>
      </rPr>
      <t>Shopping</t>
    </r>
  </si>
  <si>
    <r>
      <t xml:space="preserve">Pembelian bahan api kenderaan
</t>
    </r>
    <r>
      <rPr>
        <i/>
        <sz val="10"/>
        <color rgb="FF000000"/>
        <rFont val="Century Gothic"/>
        <family val="2"/>
      </rPr>
      <t xml:space="preserve">Purchase of automotive fuel </t>
    </r>
  </si>
  <si>
    <r>
      <t xml:space="preserve">Pengangkutan
</t>
    </r>
    <r>
      <rPr>
        <i/>
        <sz val="10"/>
        <color indexed="8"/>
        <rFont val="Century Gothic"/>
        <family val="2"/>
      </rPr>
      <t>Transport</t>
    </r>
  </si>
  <si>
    <r>
      <t xml:space="preserve">Makanan &amp; minuman
</t>
    </r>
    <r>
      <rPr>
        <i/>
        <sz val="10"/>
        <color indexed="8"/>
        <rFont val="Century Gothic"/>
        <family val="2"/>
      </rPr>
      <t xml:space="preserve">Food &amp; beverage   </t>
    </r>
    <r>
      <rPr>
        <b/>
        <sz val="10"/>
        <color indexed="8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</si>
  <si>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color indexed="8"/>
        <rFont val="Century Gothic"/>
        <family val="2"/>
      </rPr>
      <t xml:space="preserve">Accommodation </t>
    </r>
    <r>
      <rPr>
        <b/>
        <sz val="10"/>
        <color indexed="8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</si>
  <si>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color indexed="8"/>
        <rFont val="Century Gothic"/>
        <family val="2"/>
      </rPr>
      <t>Expenditure before the trip/
package/ entrance fees/ tickets</t>
    </r>
  </si>
  <si>
    <r>
      <t xml:space="preserve">Aktiviti-aktiviti lain                                                                                              </t>
    </r>
    <r>
      <rPr>
        <i/>
        <sz val="10"/>
        <color indexed="8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</si>
  <si>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color indexed="8"/>
        <rFont val="Century Gothic"/>
        <family val="2"/>
      </rPr>
      <t>Expenditure by visited households</t>
    </r>
  </si>
  <si>
    <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Century Gothic"/>
        <family val="2"/>
      </rPr>
      <t>Total</t>
    </r>
  </si>
  <si>
    <r>
      <t>Jumlah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Total</t>
    </r>
  </si>
  <si>
    <r>
      <t>Udara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Air</t>
    </r>
  </si>
  <si>
    <r>
      <t>Air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Water</t>
    </r>
  </si>
  <si>
    <r>
      <t>Darat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Land</t>
    </r>
  </si>
  <si>
    <r>
      <t>Kenderaan                persendirian</t>
    </r>
    <r>
      <rPr>
        <sz val="10"/>
        <rFont val="Century Gothic"/>
        <family val="2"/>
      </rPr>
      <t xml:space="preserve">/            </t>
    </r>
    <r>
      <rPr>
        <i/>
        <sz val="10"/>
        <rFont val="Century Gothic"/>
        <family val="2"/>
      </rPr>
      <t>Private vehicles</t>
    </r>
  </si>
  <si>
    <r>
      <t>Bas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Bus</t>
    </r>
  </si>
  <si>
    <r>
      <t>Teksi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Taxi</t>
    </r>
  </si>
  <si>
    <r>
      <t>Keretapi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</si>
  <si>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</si>
  <si>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</si>
  <si>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t xml:space="preserve">Jumlah/ </t>
    </r>
    <r>
      <rPr>
        <i/>
        <sz val="10"/>
        <color indexed="8"/>
        <rFont val="Century Gothic"/>
        <family val="2"/>
      </rPr>
      <t>Total</t>
    </r>
  </si>
  <si>
    <r>
      <t xml:space="preserve">Bumiputera/ </t>
    </r>
    <r>
      <rPr>
        <i/>
        <sz val="10"/>
        <color indexed="8"/>
        <rFont val="Century Gothic"/>
        <family val="2"/>
      </rPr>
      <t>Bumiputera</t>
    </r>
  </si>
  <si>
    <r>
      <t xml:space="preserve">Cina/ </t>
    </r>
    <r>
      <rPr>
        <i/>
        <sz val="10"/>
        <color indexed="8"/>
        <rFont val="Century Gothic"/>
        <family val="2"/>
      </rPr>
      <t>Chinese</t>
    </r>
  </si>
  <si>
    <r>
      <t xml:space="preserve">Lain-Lain/ </t>
    </r>
    <r>
      <rPr>
        <i/>
        <sz val="10"/>
        <color indexed="8"/>
        <rFont val="Century Gothic"/>
        <family val="2"/>
      </rPr>
      <t>Others</t>
    </r>
  </si>
  <si>
    <r>
      <t xml:space="preserve">Tertiari/ </t>
    </r>
    <r>
      <rPr>
        <i/>
        <sz val="10"/>
        <color indexed="8"/>
        <rFont val="Century Gothic"/>
        <family val="2"/>
      </rPr>
      <t>Tertiary</t>
    </r>
  </si>
  <si>
    <r>
      <t xml:space="preserve">Menengah/ </t>
    </r>
    <r>
      <rPr>
        <i/>
        <sz val="10"/>
        <color indexed="8"/>
        <rFont val="Century Gothic"/>
        <family val="2"/>
      </rPr>
      <t>Secondary</t>
    </r>
  </si>
  <si>
    <r>
      <t xml:space="preserve">Rendah/ </t>
    </r>
    <r>
      <rPr>
        <i/>
        <sz val="10"/>
        <color indexed="8"/>
        <rFont val="Century Gothic"/>
        <family val="2"/>
      </rPr>
      <t>Primary</t>
    </r>
  </si>
  <si>
    <r>
      <t>Bekerja</t>
    </r>
    <r>
      <rPr>
        <i/>
        <sz val="10"/>
        <color indexed="8"/>
        <rFont val="Century Gothic"/>
        <family val="2"/>
      </rPr>
      <t xml:space="preserve">                       
Employed</t>
    </r>
  </si>
  <si>
    <r>
      <t>Tidak bekerja/ luar tenaga buruh</t>
    </r>
    <r>
      <rPr>
        <i/>
        <sz val="10"/>
        <color indexed="8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</si>
  <si>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color rgb="FF000000"/>
        <rFont val="Century Gothic"/>
        <family val="2"/>
      </rPr>
      <t xml:space="preserve">
Unemployed</t>
    </r>
  </si>
  <si>
    <r>
      <t>Pesara</t>
    </r>
    <r>
      <rPr>
        <i/>
        <sz val="10"/>
        <color rgb="FF000000"/>
        <rFont val="Century Gothic"/>
        <family val="2"/>
      </rPr>
      <t xml:space="preserve">
Retiree</t>
    </r>
  </si>
  <si>
    <r>
      <t>Pelajar</t>
    </r>
    <r>
      <rPr>
        <i/>
        <sz val="10"/>
        <color rgb="FF000000"/>
        <rFont val="Century Gothic"/>
        <family val="2"/>
      </rPr>
      <t xml:space="preserve">
Student</t>
    </r>
  </si>
  <si>
    <r>
      <t>Suri rumah</t>
    </r>
    <r>
      <rPr>
        <i/>
        <sz val="10"/>
        <color rgb="FF000000"/>
        <rFont val="Century Gothic"/>
        <family val="2"/>
      </rPr>
      <t xml:space="preserve">
Housewife</t>
    </r>
  </si>
  <si>
    <r>
      <t xml:space="preserve">Lelaki/ </t>
    </r>
    <r>
      <rPr>
        <i/>
        <sz val="10"/>
        <color indexed="8"/>
        <rFont val="Century Gothic"/>
        <family val="2"/>
      </rPr>
      <t>Male</t>
    </r>
  </si>
  <si>
    <r>
      <t xml:space="preserve">Perempuan/ </t>
    </r>
    <r>
      <rPr>
        <i/>
        <sz val="10"/>
        <color indexed="8"/>
        <rFont val="Century Gothic"/>
        <family val="2"/>
      </rPr>
      <t>Female</t>
    </r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</si>
  <si>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</si>
  <si>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Bersama Keluarga
</t>
    </r>
    <r>
      <rPr>
        <i/>
        <sz val="10"/>
        <color indexed="8"/>
        <rFont val="Century Gothic"/>
        <family val="2"/>
      </rPr>
      <t>With Family</t>
    </r>
  </si>
  <si>
    <r>
      <t xml:space="preserve">Tiada pendidikan rasmi
</t>
    </r>
    <r>
      <rPr>
        <i/>
        <sz val="10"/>
        <color indexed="8"/>
        <rFont val="Century Gothic"/>
        <family val="2"/>
      </rPr>
      <t>No formal education</t>
    </r>
  </si>
  <si>
    <r>
      <t>Profesional/ teknikal</t>
    </r>
    <r>
      <rPr>
        <i/>
        <sz val="10"/>
        <color indexed="8"/>
        <rFont val="Century Gothic"/>
        <family val="2"/>
      </rPr>
      <t xml:space="preserve">
Professional/ technical</t>
    </r>
  </si>
  <si>
    <r>
      <t>Pengurusan/ pentadbiran</t>
    </r>
    <r>
      <rPr>
        <i/>
        <sz val="10"/>
        <color indexed="8"/>
        <rFont val="Century Gothic"/>
        <family val="2"/>
      </rPr>
      <t xml:space="preserve">
Managerial/ administrative</t>
    </r>
  </si>
  <si>
    <r>
      <t>Jurujual/ perkeranian</t>
    </r>
    <r>
      <rPr>
        <i/>
        <sz val="10"/>
        <color indexed="8"/>
        <rFont val="Century Gothic"/>
        <family val="2"/>
      </rPr>
      <t xml:space="preserve">
Sales person/ clerical</t>
    </r>
  </si>
  <si>
    <r>
      <t xml:space="preserve">Pekerja am
</t>
    </r>
    <r>
      <rPr>
        <i/>
        <sz val="10"/>
        <color indexed="8"/>
        <rFont val="Century Gothic"/>
        <family val="2"/>
      </rPr>
      <t>General worker</t>
    </r>
  </si>
  <si>
    <r>
      <t>Lain-lain</t>
    </r>
    <r>
      <rPr>
        <i/>
        <sz val="10"/>
        <color indexed="8"/>
        <rFont val="Century Gothic"/>
        <family val="2"/>
      </rPr>
      <t xml:space="preserve">
Others</t>
    </r>
  </si>
  <si>
    <r>
      <t>Perjalanan Bermalam</t>
    </r>
    <r>
      <rPr>
        <sz val="10"/>
        <color indexed="8"/>
        <rFont val="Century Gothic"/>
        <family val="2"/>
      </rPr>
      <t xml:space="preserve">
</t>
    </r>
    <r>
      <rPr>
        <i/>
        <sz val="10"/>
        <color indexed="8"/>
        <rFont val="Century Gothic"/>
        <family val="2"/>
      </rPr>
      <t>Overnight Trip</t>
    </r>
  </si>
  <si>
    <r>
      <t xml:space="preserve">Jumlah Perjalanan
</t>
    </r>
    <r>
      <rPr>
        <i/>
        <sz val="10"/>
        <color indexed="8"/>
        <rFont val="Century Gothic"/>
        <family val="2"/>
      </rPr>
      <t>Total Trips</t>
    </r>
  </si>
  <si>
    <r>
      <t>Perjalanan Harian</t>
    </r>
    <r>
      <rPr>
        <sz val="10"/>
        <color indexed="8"/>
        <rFont val="Century Gothic"/>
        <family val="2"/>
      </rPr>
      <t xml:space="preserve">
</t>
    </r>
    <r>
      <rPr>
        <i/>
        <sz val="10"/>
        <color indexed="8"/>
        <rFont val="Century Gothic"/>
        <family val="2"/>
      </rPr>
      <t>Same Day Trip</t>
    </r>
  </si>
  <si>
    <r>
      <t xml:space="preserve">Perjalanan Harian
</t>
    </r>
    <r>
      <rPr>
        <i/>
        <sz val="10"/>
        <color indexed="8"/>
        <rFont val="Century Gothic"/>
        <family val="2"/>
      </rPr>
      <t>Same Day Trip</t>
    </r>
  </si>
  <si>
    <r>
      <t xml:space="preserve">Perjalanan Bermalam
</t>
    </r>
    <r>
      <rPr>
        <i/>
        <sz val="10"/>
        <color indexed="8"/>
        <rFont val="Century Gothic"/>
        <family val="2"/>
      </rPr>
      <t>Overnight Trip</t>
    </r>
  </si>
  <si>
    <r>
      <t xml:space="preserve">Perjalanan Bermalam (’000)
</t>
    </r>
    <r>
      <rPr>
        <i/>
        <sz val="10"/>
        <color indexed="8"/>
        <rFont val="Century Gothic"/>
        <family val="2"/>
      </rPr>
      <t>Overnight Trip</t>
    </r>
  </si>
  <si>
    <r>
      <t xml:space="preserve">Bilangan Malam (’000)
</t>
    </r>
    <r>
      <rPr>
        <i/>
        <sz val="10"/>
        <color indexed="8"/>
        <rFont val="Century Gothic"/>
        <family val="2"/>
      </rPr>
      <t>No. of Nights</t>
    </r>
  </si>
  <si>
    <r>
      <t xml:space="preserve">Individu
</t>
    </r>
    <r>
      <rPr>
        <i/>
        <sz val="10"/>
        <color indexed="8"/>
        <rFont val="Century Gothic"/>
        <family val="2"/>
      </rPr>
      <t>Individual</t>
    </r>
  </si>
  <si>
    <r>
      <rPr>
        <b/>
        <sz val="10"/>
        <rFont val="Century Gothic"/>
        <family val="2"/>
      </rPr>
      <t>(RM juta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</si>
  <si>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>Rumah saudara-mara &amp; rakan/</t>
    </r>
    <r>
      <rPr>
        <i/>
        <sz val="10"/>
        <rFont val="Century Gothic"/>
        <family val="2"/>
      </rPr>
      <t xml:space="preserve"> Relatives’&amp; friends' house</t>
    </r>
  </si>
  <si>
    <r>
      <t xml:space="preserve">Jumlah Perbelanjaan (A+B)
</t>
    </r>
    <r>
      <rPr>
        <i/>
        <sz val="10"/>
        <color theme="1"/>
        <rFont val="Century Gothic"/>
        <family val="2"/>
      </rPr>
      <t>Total Expenditure (A+B)</t>
    </r>
  </si>
  <si>
    <r>
      <t xml:space="preserve">JUMLAH
</t>
    </r>
    <r>
      <rPr>
        <i/>
        <sz val="10"/>
        <color theme="1"/>
        <rFont val="Century Gothic"/>
        <family val="2"/>
      </rPr>
      <t>TOTAL</t>
    </r>
  </si>
  <si>
    <r>
      <t xml:space="preserve">Pelawat Harian/ 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</si>
  <si>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Jumlah/ </t>
    </r>
    <r>
      <rPr>
        <i/>
        <sz val="10"/>
        <rFont val="Century Gothic"/>
        <family val="2"/>
      </rPr>
      <t xml:space="preserve">Total </t>
    </r>
  </si>
  <si>
    <r>
      <t xml:space="preserve">Pelancong/ </t>
    </r>
    <r>
      <rPr>
        <i/>
        <sz val="10"/>
        <rFont val="Century Gothic"/>
        <family val="2"/>
      </rPr>
      <t xml:space="preserve">Tourist  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</si>
  <si>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</si>
  <si>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Perjalanan Harian/ 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</si>
  <si>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 xml:space="preserve">Perjalanan Bermalam/ </t>
    </r>
    <r>
      <rPr>
        <i/>
        <sz val="10"/>
        <rFont val="Century Gothic"/>
        <family val="2"/>
      </rPr>
      <t xml:space="preserve">Overnight Trip </t>
    </r>
  </si>
  <si>
    <r>
      <t xml:space="preserve">Perbelanjaan Harian/ </t>
    </r>
    <r>
      <rPr>
        <i/>
        <sz val="10"/>
        <rFont val="Century Gothic"/>
        <family val="2"/>
      </rPr>
      <t xml:space="preserve">Same Day Expenditure                                           </t>
    </r>
  </si>
  <si>
    <r>
      <t xml:space="preserve">Perbelanjaan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Expenditure </t>
    </r>
  </si>
  <si>
    <r>
      <t xml:space="preserve">Purata Perbelanjaan Harian per Perjalanan
</t>
    </r>
    <r>
      <rPr>
        <i/>
        <sz val="10"/>
        <rFont val="Century Gothic"/>
        <family val="2"/>
      </rPr>
      <t xml:space="preserve">Average Same Day Expenditure per Trip      </t>
    </r>
  </si>
  <si>
    <r>
      <t xml:space="preserve">Purata Perbelanjaan Bermalam per Perjalanan
</t>
    </r>
    <r>
      <rPr>
        <i/>
        <sz val="10"/>
        <rFont val="Century Gothic"/>
        <family val="2"/>
      </rPr>
      <t xml:space="preserve">Average Overnight Expenditure per Trip                     </t>
    </r>
  </si>
  <si>
    <r>
      <t xml:space="preserve">Homestay/ Rumah percutian/ </t>
    </r>
    <r>
      <rPr>
        <i/>
        <sz val="10"/>
        <rFont val="Century Gothic"/>
        <family val="2"/>
      </rPr>
      <t>Homestay/ Vacation homes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</si>
  <si>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</si>
  <si>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r>
      <t xml:space="preserve">India/ </t>
    </r>
    <r>
      <rPr>
        <i/>
        <sz val="10"/>
        <color indexed="8"/>
        <rFont val="Century Gothic"/>
        <family val="2"/>
      </rPr>
      <t>Indian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</si>
  <si>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</si>
  <si>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</si>
  <si>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rPr>
        <b/>
        <sz val="10"/>
        <color theme="1"/>
        <rFont val="Century Gothic"/>
        <family val="2"/>
      </rPr>
      <t>Percutian/ mengisi masa lapang/ berehat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Holiday/ leisure/ relaxation</t>
    </r>
  </si>
  <si>
    <r>
      <rPr>
        <b/>
        <sz val="10"/>
        <color theme="1"/>
        <rFont val="Century Gothic"/>
        <family val="2"/>
      </rPr>
      <t>Makan di luar/ restoran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Dining out/ restaurant</t>
    </r>
  </si>
  <si>
    <r>
      <rPr>
        <b/>
        <sz val="10"/>
        <color theme="1"/>
        <rFont val="Century Gothic"/>
        <family val="2"/>
      </rPr>
      <t>Berehat &amp;
bersiar-siar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Rest &amp; sight seeing</t>
    </r>
  </si>
  <si>
    <r>
      <rPr>
        <b/>
        <sz val="10"/>
        <color theme="1"/>
        <rFont val="Century Gothic"/>
        <family val="2"/>
      </rPr>
      <t>Wayang gambar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Movies</t>
    </r>
  </si>
  <si>
    <r>
      <rPr>
        <b/>
        <sz val="10"/>
        <color theme="1"/>
        <rFont val="Century Gothic"/>
        <family val="2"/>
      </rPr>
      <t>Mendapat rawatan perubatan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Medical treatment</t>
    </r>
  </si>
  <si>
    <r>
      <rPr>
        <b/>
        <sz val="10"/>
        <color theme="1"/>
        <rFont val="Century Gothic"/>
        <family val="2"/>
      </rPr>
      <t>Persidangan/ seminar/ mesyuarat/ pameran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Conventions/ seminars/ meetings/ exhibitions</t>
    </r>
  </si>
  <si>
    <r>
      <rPr>
        <b/>
        <sz val="10"/>
        <color theme="1"/>
        <rFont val="Century Gothic"/>
        <family val="2"/>
      </rPr>
      <t>Melawat rumah ibadat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 places of worship</t>
    </r>
  </si>
  <si>
    <r>
      <rPr>
        <b/>
        <sz val="10"/>
        <color theme="1"/>
        <rFont val="Century Gothic"/>
        <family val="2"/>
      </rPr>
      <t>Amal ibadat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Religious worship</t>
    </r>
  </si>
  <si>
    <r>
      <rPr>
        <b/>
        <sz val="10"/>
        <color theme="1"/>
        <rFont val="Century Gothic"/>
        <family val="2"/>
      </rPr>
      <t>Lain-lain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Others</t>
    </r>
  </si>
  <si>
    <r>
      <rPr>
        <b/>
        <sz val="10"/>
        <color theme="1"/>
        <rFont val="Century Gothic"/>
        <family val="2"/>
      </rPr>
      <t>Perjalanan insentif/ lain-lain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Incentive travel/ others</t>
    </r>
  </si>
  <si>
    <r>
      <rPr>
        <b/>
        <sz val="10"/>
        <color theme="1"/>
        <rFont val="Century Gothic"/>
        <family val="2"/>
      </rPr>
      <t>Amal ibadat/ melawat rumah ibadat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Religious worship/ visit places of worship</t>
    </r>
  </si>
  <si>
    <r>
      <rPr>
        <b/>
        <sz val="10"/>
        <color theme="1"/>
        <rFont val="Century Gothic"/>
        <family val="2"/>
      </rPr>
      <t>Urusan rasmi/ pendidikan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Official business/ education</t>
    </r>
  </si>
  <si>
    <r>
      <rPr>
        <b/>
        <sz val="10"/>
        <color theme="1"/>
        <rFont val="Century Gothic"/>
        <family val="2"/>
      </rPr>
      <t>Rawatan perubatan/ penjagaan diri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Medical treatment/ wellness</t>
    </r>
  </si>
  <si>
    <r>
      <rPr>
        <b/>
        <sz val="10"/>
        <color theme="1"/>
        <rFont val="Century Gothic"/>
        <family val="2"/>
      </rPr>
      <t>Hiburan/ menghadiri acara khas/ sukan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Entertainment/ attending special event/ sport</t>
    </r>
  </si>
  <si>
    <t>Jadual 1: Statistik Penting Pelancongan Domestik, 2011 - 2018</t>
  </si>
  <si>
    <t>Jadual 9: Bilangan Pelawat Domestik mengikut Negeri Dikunjungi, 2011 - 2018</t>
  </si>
  <si>
    <t>Table 1: Key Statistics of Domestic Tourism, 2011 - 2018</t>
  </si>
  <si>
    <t>Jadual 2: Bilangan Pelawat Domestik mengikut Jenis Pelawat dan Strata, 2017 dan 2018</t>
  </si>
  <si>
    <t>Jadual 3: Bilangan Perjalanan dan Perbelanjaan Pelancongan Domestik mengikut Strata, 2017 dan 2018</t>
  </si>
  <si>
    <t>Table 3: Number of Domestic Tourism Trips and Expenditure by Strata, 2017 and 2018</t>
  </si>
  <si>
    <t>Jadual 6: Perbelanjaan Pelawat Domestik mengikut Komponen, 2017 dan 2018</t>
  </si>
  <si>
    <t>Table 6: Expenditure of Domestic Visitors by Component, 2017 and 2018</t>
  </si>
  <si>
    <t>Jadual 4: Bilangan Perjalanan Pelancongan Domestik mengikut Jenis Perjalanan dan Strata, 2017 dan 2018</t>
  </si>
  <si>
    <t>Table 4 : Number of Domestic Tourism Trips by Type of Trips and Strata, 2017 and 2018</t>
  </si>
  <si>
    <t>Jadual 5: Purata Bilangan Hari Menginap bagi Pelancong Domestik mengikut Strata, 2017 dan 2018</t>
  </si>
  <si>
    <t>Table 5 : Average Length of Stay of Domestic Tourists by Strata, 2017 and 2018</t>
  </si>
  <si>
    <t>Jadual 7: Perjalanan Pelancongan Domestik mengikut Tujuan dan Aktiviti, 2018</t>
  </si>
  <si>
    <t>Table 7: Domestic Tourism Trips by Purpose of Visit and Activities, 2018</t>
  </si>
  <si>
    <t>Table 9: Number of Domestic Visitors by State Visited, 2011 - 2018</t>
  </si>
  <si>
    <t>Jadual 10: Bilangan Pelancong Domestik mengikut Negeri Dikunjungi, 2018</t>
  </si>
  <si>
    <t>Table 10: Number of Domestic Tourists by State Visited, 2018</t>
  </si>
  <si>
    <t>Jadual 11: Taburan Peratus Pelawat Domestik mengikut Mod Pengangkutan, 2017 dan 2018</t>
  </si>
  <si>
    <t>Table 11: Percentage Distribution of Domestic Visitors by Mode of Transport, 2017 and 2018</t>
  </si>
  <si>
    <t>Jadual 12: Taburan Peratus Pelancong mengikut Jenis Penginapan, 2017 dan 2018</t>
  </si>
  <si>
    <t>Table 12: Percentage Distribution of Tourists by Type of Accommodation, 2017 and 2018</t>
  </si>
  <si>
    <t>Jadual 13: Profil Demografi Pelawat Domestik, 2017 dan 2018 (samb.)</t>
  </si>
  <si>
    <t>Table 13: Demographic Profile of Domestic Visitors, 2017 and 2018 (cont.)</t>
  </si>
  <si>
    <t>Table 13: Demographic Profile of Domestic Visitors, 2017 and 2018</t>
  </si>
  <si>
    <t>Table 2: Number of Domestic Visitors by Type of Visitors and Strata, 2017 and 2018</t>
  </si>
  <si>
    <r>
      <t xml:space="preserve">Peratus Sumbangan </t>
    </r>
    <r>
      <rPr>
        <i/>
        <sz val="10"/>
        <rFont val="Century Gothic"/>
        <family val="2"/>
      </rPr>
      <t>Percentage Share</t>
    </r>
  </si>
  <si>
    <r>
      <t xml:space="preserve">Strata / </t>
    </r>
    <r>
      <rPr>
        <i/>
        <sz val="10"/>
        <rFont val="Century Gothic"/>
        <family val="2"/>
      </rPr>
      <t>Strata</t>
    </r>
  </si>
  <si>
    <r>
      <t xml:space="preserve">Jumlah  </t>
    </r>
    <r>
      <rPr>
        <i/>
        <sz val="10"/>
        <rFont val="Century Gothic"/>
        <family val="2"/>
      </rPr>
      <t xml:space="preserve">Total </t>
    </r>
    <r>
      <rPr>
        <b/>
        <i/>
        <sz val="10"/>
        <rFont val="Century Gothic"/>
        <family val="2"/>
      </rPr>
      <t xml:space="preserve">              </t>
    </r>
  </si>
  <si>
    <r>
      <t xml:space="preserve">Bandar      </t>
    </r>
    <r>
      <rPr>
        <i/>
        <sz val="10"/>
        <rFont val="Century Gothic"/>
        <family val="2"/>
      </rPr>
      <t>Urban</t>
    </r>
  </si>
  <si>
    <r>
      <t xml:space="preserve">Luar Bandar </t>
    </r>
    <r>
      <rPr>
        <i/>
        <sz val="10"/>
        <rFont val="Century Gothic"/>
        <family val="2"/>
      </rPr>
      <t>Rural</t>
    </r>
  </si>
  <si>
    <r>
      <t xml:space="preserve">Bandar     </t>
    </r>
    <r>
      <rPr>
        <i/>
        <sz val="10"/>
        <rFont val="Century Gothic"/>
        <family val="2"/>
      </rPr>
      <t>Urban</t>
    </r>
  </si>
  <si>
    <r>
      <t xml:space="preserve">Jenis Pelawat/ </t>
    </r>
    <r>
      <rPr>
        <i/>
        <sz val="10"/>
        <rFont val="Century Gothic"/>
        <family val="2"/>
      </rPr>
      <t xml:space="preserve">Type of Visitor </t>
    </r>
  </si>
  <si>
    <r>
      <t xml:space="preserve">Peratus Sumbangan </t>
    </r>
    <r>
      <rPr>
        <i/>
        <sz val="10"/>
        <rFont val="Century Gothic"/>
        <family val="2"/>
      </rPr>
      <t xml:space="preserve">Percentage Share 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</si>
  <si>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</si>
  <si>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Jumlah
</t>
    </r>
    <r>
      <rPr>
        <i/>
        <sz val="10"/>
        <rFont val="Century Gothic"/>
        <family val="2"/>
      </rPr>
      <t xml:space="preserve">Total </t>
    </r>
    <r>
      <rPr>
        <b/>
        <i/>
        <sz val="10"/>
        <rFont val="Century Gothic"/>
        <family val="2"/>
      </rPr>
      <t xml:space="preserve">              </t>
    </r>
  </si>
  <si>
    <r>
      <t xml:space="preserve">Bandar
</t>
    </r>
    <r>
      <rPr>
        <i/>
        <sz val="10"/>
        <rFont val="Century Gothic"/>
        <family val="2"/>
      </rPr>
      <t>Urban</t>
    </r>
  </si>
  <si>
    <r>
      <t xml:space="preserve">Luar Bandar
</t>
    </r>
    <r>
      <rPr>
        <i/>
        <sz val="10"/>
        <rFont val="Century Gothic"/>
        <family val="2"/>
      </rPr>
      <t>Rural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</si>
  <si>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</si>
  <si>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Perbelanjaan
</t>
    </r>
    <r>
      <rPr>
        <i/>
        <sz val="10"/>
        <rFont val="Century Gothic"/>
        <family val="2"/>
      </rPr>
      <t xml:space="preserve">Total Expenditure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</si>
  <si>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</si>
  <si>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Tujuan
</t>
    </r>
    <r>
      <rPr>
        <i/>
        <sz val="10"/>
        <rFont val="Century Gothic"/>
        <family val="2"/>
      </rPr>
      <t>Purpose</t>
    </r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</si>
  <si>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</si>
  <si>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r>
      <t xml:space="preserve">Aktiviti
</t>
    </r>
    <r>
      <rPr>
        <i/>
        <sz val="10"/>
        <rFont val="Century Gothic"/>
        <family val="2"/>
      </rPr>
      <t>Activities</t>
    </r>
  </si>
  <si>
    <r>
      <rPr>
        <b/>
        <sz val="10"/>
        <rFont val="Century Gothic"/>
        <family val="2"/>
      </rPr>
      <t>Lima Destinasi Tumpuan Pelawat Domestik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Top Five Destinations Most Visited by Domestic Vistors</t>
    </r>
  </si>
  <si>
    <r>
      <rPr>
        <b/>
        <sz val="10"/>
        <rFont val="Century Gothic"/>
        <family val="2"/>
      </rPr>
      <t xml:space="preserve">Negeri
</t>
    </r>
    <r>
      <rPr>
        <i/>
        <sz val="10"/>
        <rFont val="Century Gothic"/>
        <family val="2"/>
      </rPr>
      <t>State</t>
    </r>
  </si>
  <si>
    <r>
      <t xml:space="preserve">Negeri                                                                                                                 </t>
    </r>
    <r>
      <rPr>
        <i/>
        <sz val="10"/>
        <rFont val="Century Gothic"/>
        <family val="2"/>
      </rPr>
      <t>State</t>
    </r>
  </si>
  <si>
    <r>
      <t xml:space="preserve">Bilangan Pelawat
</t>
    </r>
    <r>
      <rPr>
        <i/>
        <sz val="10"/>
        <rFont val="Century Gothic"/>
        <family val="2"/>
      </rPr>
      <t xml:space="preserve">Number of Visitors
</t>
    </r>
    <r>
      <rPr>
        <b/>
        <sz val="10"/>
        <rFont val="Century Gothic"/>
        <family val="2"/>
      </rPr>
      <t>('000)</t>
    </r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</si>
  <si>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</si>
  <si>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</si>
  <si>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t xml:space="preserve">Mod Pengangkutan                                                  </t>
    </r>
    <r>
      <rPr>
        <i/>
        <sz val="10"/>
        <rFont val="Century Gothic"/>
        <family val="2"/>
      </rPr>
      <t xml:space="preserve">Mode of Transport </t>
    </r>
    <r>
      <rPr>
        <b/>
        <sz val="10"/>
        <rFont val="Century Gothic"/>
        <family val="2"/>
      </rPr>
      <t> </t>
    </r>
  </si>
  <si>
    <r>
      <t xml:space="preserve">Pelawat      </t>
    </r>
    <r>
      <rPr>
        <i/>
        <sz val="10"/>
        <rFont val="Century Gothic"/>
        <family val="2"/>
      </rPr>
      <t>Visitors</t>
    </r>
  </si>
  <si>
    <r>
      <t xml:space="preserve">Pelawat Harian
</t>
    </r>
    <r>
      <rPr>
        <i/>
        <sz val="10"/>
        <rFont val="Century Gothic"/>
        <family val="2"/>
      </rPr>
      <t xml:space="preserve">Excursionists </t>
    </r>
  </si>
  <si>
    <r>
      <t xml:space="preserve">Pelancong  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</si>
  <si>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</si>
  <si>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                           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</si>
  <si>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sz val="10"/>
        <rFont val="Century Gothic"/>
        <family val="2"/>
      </rPr>
      <t xml:space="preserve"> (%)</t>
    </r>
  </si>
  <si>
    <t>Jadual 13: Profil Demografi Pelawat Domestik, 2017 dan 2018</t>
  </si>
  <si>
    <r>
      <rPr>
        <b/>
        <sz val="10"/>
        <color theme="1"/>
        <rFont val="Century Gothic"/>
        <family val="2"/>
      </rPr>
      <t>Pendidikan/ kursus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Education/ course</t>
    </r>
  </si>
  <si>
    <t>Bandaraya Johor Bahru
Mersing
Kluang
Batu Pahat
Muar</t>
  </si>
  <si>
    <t>Padang Besar
Kuala Perlis
Pantai Sg. Berembang
Bandar Kangar
Gua Kelam</t>
  </si>
  <si>
    <t>Bandar Alor Setar
Pulau Langkawi
Pantai  Merdeka
Tanjung Dawai
Pantai Murni</t>
  </si>
  <si>
    <t xml:space="preserve">Bandar Kota Bharu
Pasar Siti Khatijah
Pantai Cahaya Bulan
Wakaf Che Yeh
Rantau Panjang      </t>
  </si>
  <si>
    <t>Banda Hilir
Klebang
Simpang Ampat
Zoo Melaka
Pantai Pengkalan Balak</t>
  </si>
  <si>
    <t>Bandar Seremban
Pantai Port Dickson
Nilai
Kuala Pilah
Tampin</t>
  </si>
  <si>
    <t>Genting Highlands
Bandar Kuantan
Temerloh
Cameron Highlands
Pantai Telok Chempedak</t>
  </si>
  <si>
    <t>Bayan Lepas
Seberang Jaya
Pantai Batu Feringghi
Georgetown
Bukit Bendera</t>
  </si>
  <si>
    <t>Bandaraya Ipoh
Taman Tasik Taiping
Teluk Intan
Pulau Pangkor
Lumut</t>
  </si>
  <si>
    <t>Petaling Jaya
Sepang
Klang
Gombak
Hulu Langat</t>
  </si>
  <si>
    <t>Kuala Terengganu
Dungun
Pantai Batu Buruk
Besut
Pasar Payang</t>
  </si>
  <si>
    <t>Tawau
Bandar Kota Kinabalu
Beaufort
Kunak
Lahad Datu</t>
  </si>
  <si>
    <r>
      <rPr>
        <i/>
        <sz val="10"/>
        <color theme="1"/>
        <rFont val="Century Gothic"/>
        <family val="2"/>
      </rPr>
      <t>Mid Valley</t>
    </r>
    <r>
      <rPr>
        <sz val="10"/>
        <color theme="1"/>
        <rFont val="Century Gothic"/>
        <family val="2"/>
      </rPr>
      <t xml:space="preserve">
SOGO
KLCC
Pavillion
Jalan TAR</t>
    </r>
  </si>
  <si>
    <t>Pantai Pancur Hitam
Pantai Pohon Batu
Memorial Perang Dunia Kedua
Kg. Patau-Patau
Dataran Labuan</t>
  </si>
  <si>
    <t>Alamanda
Dataran Putra
Masjid Putra
Taman Saujana Hijau
Cruise Tasik Putrajaya</t>
  </si>
  <si>
    <t>Bandaraya Kuching
Bandaraya Miri
Bandar Sibu
Bandar Bintulu
Serian</t>
  </si>
  <si>
    <t>Jadual 8A: Lima Destinasi Tumpuan Pelawat Domestik, 2018</t>
  </si>
  <si>
    <t>Table 8A: Top Five Destinations Most Visited by Domestic Vistors, 2018</t>
  </si>
  <si>
    <t>Table 8B: Top Five Administrative Districts Most Visited by Domestic Visitors, 2018</t>
  </si>
  <si>
    <t>Jadual 8B: Lima Daerah Pentadbiran Tumpuan Pelawat Domestik, 2018</t>
  </si>
  <si>
    <t xml:space="preserve">
Johor</t>
  </si>
  <si>
    <t xml:space="preserve">
Johor Bahru
Batu Pahat
Muar
Kluang
Mersing</t>
  </si>
  <si>
    <t xml:space="preserve">
Pulau Pinang</t>
  </si>
  <si>
    <t xml:space="preserve">
Timur Laut
Seberang Perai Tengah
Barat Daya
Seberang Perai Utara
Seberang Perai Selatan</t>
  </si>
  <si>
    <t xml:space="preserve">
Kedah</t>
  </si>
  <si>
    <t xml:space="preserve">
Kota Setar
Kuala Muda
Langkawi
Kubang Pasu
Kulim</t>
  </si>
  <si>
    <t xml:space="preserve">
Kota Bharu
Pasir Mas
Tanah Merah
Pasir Puteh
Bachok</t>
  </si>
  <si>
    <t xml:space="preserve">
Kelantan</t>
  </si>
  <si>
    <t xml:space="preserve">
Melaka</t>
  </si>
  <si>
    <t xml:space="preserve">
Melaka Tengah
Hang Tuah Jaya
Alor Gajah
Jasin</t>
  </si>
  <si>
    <t xml:space="preserve">
Kinta
Manjung
Larut, Matang &amp; Selama
Hilir Perak
Kuala Kangsar</t>
  </si>
  <si>
    <t xml:space="preserve">
Petaling
Gombak
Hulu Langat
Klang
Sepang</t>
  </si>
  <si>
    <t xml:space="preserve">
Perak</t>
  </si>
  <si>
    <t xml:space="preserve">
Selangor</t>
  </si>
  <si>
    <t xml:space="preserve">
Terengganu</t>
  </si>
  <si>
    <t xml:space="preserve">
Kuala Terengganu
Dungun
Kemaman
Besut
Kuala Nerus</t>
  </si>
  <si>
    <t xml:space="preserve">
Seremban
Port Dickson
Tampin
Kuala Pilah
Jempol</t>
  </si>
  <si>
    <t xml:space="preserve">
Pahang</t>
  </si>
  <si>
    <t xml:space="preserve">
Negeri Sembilan</t>
  </si>
  <si>
    <t xml:space="preserve">
Kuantan
Temerloh
Bentong
Cameron Highlands
Maran</t>
  </si>
  <si>
    <t xml:space="preserve">
Sabah</t>
  </si>
  <si>
    <t xml:space="preserve">
Kota Kinabalu
Tawau
Beaufort
Sandakan
Ranau</t>
  </si>
  <si>
    <t xml:space="preserve">
Sarawak</t>
  </si>
  <si>
    <t xml:space="preserve">
Kuching
Sibu
Miri
Bintulu
Serian</t>
  </si>
  <si>
    <r>
      <rPr>
        <b/>
        <sz val="10.5"/>
        <rFont val="Century Gothic"/>
        <family val="2"/>
      </rPr>
      <t xml:space="preserve">Negeri
</t>
    </r>
    <r>
      <rPr>
        <i/>
        <sz val="10.5"/>
        <rFont val="Century Gothic"/>
        <family val="2"/>
      </rPr>
      <t>State</t>
    </r>
  </si>
  <si>
    <r>
      <rPr>
        <b/>
        <sz val="10.5"/>
        <rFont val="Century Gothic"/>
        <family val="2"/>
      </rPr>
      <t>Lima Daerah Pentadbiran Tumpuan Pelawat Domestik</t>
    </r>
    <r>
      <rPr>
        <sz val="10.5"/>
        <rFont val="Century Gothic"/>
        <family val="2"/>
      </rPr>
      <t xml:space="preserve">
</t>
    </r>
    <r>
      <rPr>
        <i/>
        <sz val="10.5"/>
        <rFont val="Century Gothic"/>
        <family val="2"/>
      </rPr>
      <t>Top Five Administrative Districts Most Visited by Domestic Visitors</t>
    </r>
  </si>
  <si>
    <r>
      <t>*</t>
    </r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</si>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</sst>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  <numFmt numFmtId="167" formatCode="#,##0.0"/>
    <numFmt numFmtId="168" formatCode="0.0%"/>
    <numFmt numFmtId="169" formatCode="_(* #,##0.0000_);_(* \(#,##0.0000\);_(* &quot;-&quot;??_);_(@_)"/>
  </numFmts>
  <fonts count="46">
    <font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b/>
      <i/>
      <sz val="9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i/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color rgb="FF000000"/>
      <name val="Century Gothic"/>
      <family val="2"/>
    </font>
    <font>
      <sz val="11"/>
      <color theme="1"/>
      <name val="Century Gothic"/>
      <family val="2"/>
    </font>
    <font>
      <i/>
      <sz val="10"/>
      <color rgb="FF000000"/>
      <name val="Century Gothic"/>
      <family val="2"/>
    </font>
    <font>
      <i/>
      <sz val="8"/>
      <color rgb="FF000000"/>
      <name val="Century Gothic"/>
      <family val="2"/>
    </font>
    <font>
      <sz val="8"/>
      <color rgb="FF000000"/>
      <name val="Century Gothic"/>
      <family val="2"/>
    </font>
    <font>
      <i/>
      <sz val="9"/>
      <color theme="0"/>
      <name val="Century Gothic"/>
      <family val="2"/>
    </font>
    <font>
      <i/>
      <sz val="9"/>
      <color indexed="8"/>
      <name val="Century Gothic"/>
      <family val="2"/>
    </font>
    <font>
      <sz val="10"/>
      <color rgb="FF000000"/>
      <name val="Century Gothic"/>
      <family val="2"/>
    </font>
    <font>
      <i/>
      <sz val="9"/>
      <color theme="1"/>
      <name val="Century Gothic"/>
      <family val="2"/>
    </font>
    <font>
      <b/>
      <i/>
      <sz val="10"/>
      <color theme="1"/>
      <name val="Century Gothic"/>
      <family val="2"/>
    </font>
    <font>
      <b/>
      <i/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1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i/>
      <sz val="10"/>
      <color theme="1"/>
      <name val="Century Gothic"/>
      <family val="2"/>
    </font>
    <font>
      <i/>
      <sz val="10"/>
      <color indexed="8"/>
      <name val="Century Gothic"/>
      <family val="2"/>
    </font>
    <font>
      <sz val="10"/>
      <color indexed="8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1"/>
      <color theme="1"/>
      <name val="Century Gothic"/>
      <family val="2"/>
    </font>
    <font>
      <i/>
      <sz val="9"/>
      <name val="Century Gothic"/>
      <family val="2"/>
    </font>
    <font>
      <i/>
      <sz val="11"/>
      <name val="Century Gothic"/>
      <family val="2"/>
    </font>
    <font>
      <sz val="10.5"/>
      <name val="Century Gothic"/>
      <family val="2"/>
    </font>
    <font>
      <b/>
      <sz val="10.5"/>
      <name val="Century Gothic"/>
      <family val="2"/>
    </font>
    <font>
      <i/>
      <sz val="10.5"/>
      <name val="Century Gothic"/>
      <family val="2"/>
    </font>
    <font>
      <b/>
      <sz val="10.5"/>
      <color theme="1"/>
      <name val="Century Gothic"/>
      <family val="2"/>
    </font>
    <font>
      <sz val="10.5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23CF8D"/>
      </bottom>
      <diagonal/>
    </border>
    <border>
      <left/>
      <right/>
      <top/>
      <bottom style="medium">
        <color rgb="FF00CC99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 style="thin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 style="thin">
        <color rgb="FF00CC99"/>
      </top>
      <bottom style="medium">
        <color rgb="FF00CC99"/>
      </bottom>
      <diagonal/>
    </border>
    <border>
      <left/>
      <right/>
      <top style="thin">
        <color rgb="FF00CC99"/>
      </top>
      <bottom/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/>
      <bottom/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/>
      <right style="thin">
        <color indexed="64"/>
      </right>
      <top style="medium">
        <color rgb="FF00CC99"/>
      </top>
      <bottom style="medium">
        <color rgb="FF00CC99"/>
      </bottom>
      <diagonal/>
    </border>
    <border>
      <left style="thin">
        <color indexed="64"/>
      </left>
      <right style="thin">
        <color indexed="64"/>
      </right>
      <top style="medium">
        <color rgb="FF00CC99"/>
      </top>
      <bottom style="medium">
        <color rgb="FF00CC99"/>
      </bottom>
      <diagonal/>
    </border>
    <border>
      <left style="thin">
        <color indexed="64"/>
      </left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12">
    <xf numFmtId="0" fontId="0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</cellStyleXfs>
  <cellXfs count="398">
    <xf numFmtId="0" fontId="0" fillId="0" borderId="0" xfId="0"/>
    <xf numFmtId="0" fontId="7" fillId="0" borderId="0" xfId="0" applyFont="1" applyAlignment="1">
      <alignment vertical="top" wrapText="1"/>
    </xf>
    <xf numFmtId="0" fontId="16" fillId="0" borderId="0" xfId="0" applyFont="1"/>
    <xf numFmtId="0" fontId="18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top" wrapText="1"/>
    </xf>
    <xf numFmtId="0" fontId="16" fillId="0" borderId="0" xfId="0" applyFont="1" applyBorder="1"/>
    <xf numFmtId="168" fontId="16" fillId="0" borderId="0" xfId="11" applyNumberFormat="1" applyFont="1"/>
    <xf numFmtId="0" fontId="27" fillId="0" borderId="0" xfId="0" applyFont="1"/>
    <xf numFmtId="0" fontId="9" fillId="0" borderId="0" xfId="0" applyFont="1" applyBorder="1" applyAlignment="1">
      <alignment horizontal="center" vertical="center" wrapText="1"/>
    </xf>
    <xf numFmtId="0" fontId="14" fillId="0" borderId="0" xfId="0" applyFont="1"/>
    <xf numFmtId="3" fontId="14" fillId="0" borderId="0" xfId="0" applyNumberFormat="1" applyFont="1"/>
    <xf numFmtId="37" fontId="14" fillId="0" borderId="0" xfId="1" applyNumberFormat="1" applyFont="1"/>
    <xf numFmtId="3" fontId="16" fillId="0" borderId="0" xfId="0" applyNumberFormat="1" applyFont="1"/>
    <xf numFmtId="0" fontId="33" fillId="0" borderId="0" xfId="0" applyFont="1" applyAlignment="1">
      <alignment horizontal="center"/>
    </xf>
    <xf numFmtId="10" fontId="16" fillId="0" borderId="0" xfId="11" applyNumberFormat="1" applyFont="1"/>
    <xf numFmtId="164" fontId="16" fillId="0" borderId="0" xfId="1" applyNumberFormat="1" applyFont="1"/>
    <xf numFmtId="165" fontId="16" fillId="0" borderId="0" xfId="1" applyNumberFormat="1" applyFont="1"/>
    <xf numFmtId="169" fontId="16" fillId="0" borderId="0" xfId="0" applyNumberFormat="1" applyFont="1"/>
    <xf numFmtId="0" fontId="15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2" fontId="16" fillId="0" borderId="0" xfId="0" applyNumberFormat="1" applyFont="1"/>
    <xf numFmtId="2" fontId="16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2" fontId="16" fillId="0" borderId="0" xfId="0" applyNumberFormat="1" applyFont="1" applyAlignment="1">
      <alignment vertical="center"/>
    </xf>
    <xf numFmtId="164" fontId="16" fillId="0" borderId="0" xfId="1" applyNumberFormat="1" applyFont="1" applyAlignment="1">
      <alignment vertical="center"/>
    </xf>
    <xf numFmtId="166" fontId="16" fillId="0" borderId="0" xfId="0" applyNumberFormat="1" applyFont="1"/>
    <xf numFmtId="0" fontId="13" fillId="0" borderId="0" xfId="0" applyFont="1" applyBorder="1" applyAlignment="1">
      <alignment horizontal="left" vertical="top" wrapText="1"/>
    </xf>
    <xf numFmtId="0" fontId="14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top" wrapText="1"/>
    </xf>
    <xf numFmtId="0" fontId="16" fillId="0" borderId="0" xfId="0" applyFont="1" applyAlignment="1">
      <alignment vertical="top"/>
    </xf>
    <xf numFmtId="0" fontId="22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22" fillId="0" borderId="0" xfId="0" applyFont="1" applyAlignment="1">
      <alignment horizontal="right" vertical="top" wrapText="1"/>
    </xf>
    <xf numFmtId="0" fontId="22" fillId="0" borderId="0" xfId="0" applyFont="1" applyBorder="1" applyAlignment="1">
      <alignment horizontal="center" vertical="top" wrapText="1"/>
    </xf>
    <xf numFmtId="0" fontId="27" fillId="0" borderId="0" xfId="0" applyFont="1" applyAlignment="1">
      <alignment vertical="top"/>
    </xf>
    <xf numFmtId="0" fontId="15" fillId="0" borderId="0" xfId="0" applyFont="1" applyAlignment="1">
      <alignment horizontal="right" vertical="top" wrapText="1"/>
    </xf>
    <xf numFmtId="4" fontId="16" fillId="0" borderId="0" xfId="0" applyNumberFormat="1" applyFont="1" applyAlignment="1">
      <alignment vertical="top"/>
    </xf>
    <xf numFmtId="3" fontId="16" fillId="0" borderId="0" xfId="0" applyNumberFormat="1" applyFont="1" applyAlignment="1">
      <alignment vertical="top"/>
    </xf>
    <xf numFmtId="0" fontId="33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3" fillId="0" borderId="0" xfId="0" applyFont="1" applyAlignment="1">
      <alignment horizontal="left" vertical="top"/>
    </xf>
    <xf numFmtId="0" fontId="13" fillId="0" borderId="0" xfId="0" applyFont="1" applyBorder="1" applyAlignment="1">
      <alignment vertical="top"/>
    </xf>
    <xf numFmtId="0" fontId="13" fillId="0" borderId="0" xfId="0" applyFont="1" applyAlignment="1">
      <alignment vertical="top"/>
    </xf>
    <xf numFmtId="0" fontId="22" fillId="0" borderId="0" xfId="0" applyFont="1" applyBorder="1" applyAlignment="1">
      <alignment horizontal="left" vertical="top" wrapText="1"/>
    </xf>
    <xf numFmtId="3" fontId="15" fillId="0" borderId="0" xfId="0" applyNumberFormat="1" applyFont="1" applyAlignment="1">
      <alignment horizontal="right" vertical="top" wrapText="1"/>
    </xf>
    <xf numFmtId="3" fontId="9" fillId="0" borderId="0" xfId="0" applyNumberFormat="1" applyFont="1" applyAlignment="1">
      <alignment horizontal="right" vertical="center" wrapText="1"/>
    </xf>
    <xf numFmtId="3" fontId="14" fillId="0" borderId="0" xfId="0" applyNumberFormat="1" applyFont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right" vertical="top" wrapText="1"/>
    </xf>
    <xf numFmtId="0" fontId="35" fillId="0" borderId="0" xfId="0" applyFont="1" applyAlignment="1">
      <alignment vertical="top"/>
    </xf>
    <xf numFmtId="0" fontId="15" fillId="0" borderId="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22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166" fontId="9" fillId="0" borderId="0" xfId="0" applyNumberFormat="1" applyFont="1" applyAlignment="1">
      <alignment horizontal="right" vertical="top" wrapText="1" indent="3"/>
    </xf>
    <xf numFmtId="0" fontId="9" fillId="0" borderId="0" xfId="0" applyFont="1" applyAlignment="1">
      <alignment horizontal="left" vertical="top" wrapText="1"/>
    </xf>
    <xf numFmtId="168" fontId="27" fillId="0" borderId="0" xfId="11" applyNumberFormat="1" applyFont="1" applyAlignment="1">
      <alignment vertical="top"/>
    </xf>
    <xf numFmtId="0" fontId="9" fillId="0" borderId="2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9" fillId="0" borderId="0" xfId="0" applyFont="1" applyFill="1" applyBorder="1" applyAlignment="1">
      <alignment horizontal="center" vertical="top" wrapText="1"/>
    </xf>
    <xf numFmtId="0" fontId="27" fillId="0" borderId="0" xfId="0" applyFont="1" applyBorder="1" applyAlignment="1">
      <alignment vertical="top"/>
    </xf>
    <xf numFmtId="0" fontId="34" fillId="0" borderId="0" xfId="0" applyFont="1" applyAlignment="1">
      <alignment vertical="top"/>
    </xf>
    <xf numFmtId="3" fontId="14" fillId="0" borderId="0" xfId="0" applyNumberFormat="1" applyFont="1" applyAlignment="1">
      <alignment horizontal="right" vertical="top" wrapText="1" indent="1"/>
    </xf>
    <xf numFmtId="3" fontId="14" fillId="0" borderId="0" xfId="0" applyNumberFormat="1" applyFont="1" applyBorder="1" applyAlignment="1">
      <alignment horizontal="right" vertical="top" wrapText="1" indent="1"/>
    </xf>
    <xf numFmtId="0" fontId="9" fillId="0" borderId="0" xfId="0" applyFont="1" applyBorder="1" applyAlignment="1">
      <alignment horizontal="right" vertical="top" wrapText="1" indent="1"/>
    </xf>
    <xf numFmtId="0" fontId="15" fillId="0" borderId="0" xfId="0" applyFont="1" applyAlignment="1">
      <alignment horizontal="right" vertical="top" wrapText="1" indent="1"/>
    </xf>
    <xf numFmtId="0" fontId="22" fillId="0" borderId="0" xfId="0" applyFont="1" applyAlignment="1">
      <alignment horizontal="right" vertical="top" wrapText="1" indent="1"/>
    </xf>
    <xf numFmtId="0" fontId="22" fillId="0" borderId="0" xfId="0" applyFont="1" applyBorder="1" applyAlignment="1">
      <alignment horizontal="right" vertical="top" wrapText="1" indent="1"/>
    </xf>
    <xf numFmtId="0" fontId="10" fillId="0" borderId="0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0" fontId="16" fillId="0" borderId="0" xfId="0" applyFont="1" applyFill="1" applyAlignment="1">
      <alignment vertical="top"/>
    </xf>
    <xf numFmtId="0" fontId="9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15" fillId="0" borderId="0" xfId="0" applyFont="1" applyAlignment="1">
      <alignment horizontal="left" vertical="top" wrapText="1" indent="2"/>
    </xf>
    <xf numFmtId="0" fontId="15" fillId="0" borderId="0" xfId="0" applyFont="1" applyBorder="1" applyAlignment="1">
      <alignment horizontal="left" vertical="top" wrapText="1" indent="2"/>
    </xf>
    <xf numFmtId="3" fontId="15" fillId="0" borderId="0" xfId="0" applyNumberFormat="1" applyFont="1" applyFill="1" applyBorder="1" applyAlignment="1">
      <alignment horizontal="right" vertical="top" wrapText="1"/>
    </xf>
    <xf numFmtId="3" fontId="22" fillId="0" borderId="0" xfId="0" applyNumberFormat="1" applyFont="1" applyFill="1" applyBorder="1" applyAlignment="1">
      <alignment horizontal="right" vertical="top" wrapText="1"/>
    </xf>
    <xf numFmtId="3" fontId="22" fillId="0" borderId="0" xfId="0" applyNumberFormat="1" applyFont="1" applyAlignment="1">
      <alignment horizontal="right" vertical="top" wrapText="1"/>
    </xf>
    <xf numFmtId="167" fontId="13" fillId="0" borderId="0" xfId="0" applyNumberFormat="1" applyFont="1" applyFill="1" applyBorder="1" applyAlignment="1">
      <alignment horizontal="right" vertical="top" wrapText="1"/>
    </xf>
    <xf numFmtId="167" fontId="22" fillId="0" borderId="0" xfId="0" applyNumberFormat="1" applyFont="1" applyAlignment="1">
      <alignment horizontal="right" vertical="top" wrapText="1"/>
    </xf>
    <xf numFmtId="0" fontId="9" fillId="0" borderId="0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right" vertical="top" wrapText="1"/>
    </xf>
    <xf numFmtId="2" fontId="15" fillId="0" borderId="0" xfId="0" applyNumberFormat="1" applyFont="1" applyFill="1" applyBorder="1" applyAlignment="1">
      <alignment horizontal="right" vertical="top" wrapText="1"/>
    </xf>
    <xf numFmtId="4" fontId="15" fillId="0" borderId="0" xfId="0" applyNumberFormat="1" applyFont="1" applyAlignment="1">
      <alignment horizontal="right" vertical="top" wrapText="1"/>
    </xf>
    <xf numFmtId="166" fontId="14" fillId="0" borderId="0" xfId="0" applyNumberFormat="1" applyFont="1" applyFill="1" applyBorder="1" applyAlignment="1">
      <alignment horizontal="right" vertical="top" wrapText="1"/>
    </xf>
    <xf numFmtId="1" fontId="15" fillId="0" borderId="0" xfId="0" applyNumberFormat="1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/>
    </xf>
    <xf numFmtId="0" fontId="20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right" vertical="center"/>
    </xf>
    <xf numFmtId="0" fontId="14" fillId="0" borderId="0" xfId="0" applyFont="1" applyFill="1"/>
    <xf numFmtId="0" fontId="28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3" fontId="9" fillId="0" borderId="0" xfId="0" applyNumberFormat="1" applyFont="1" applyBorder="1" applyAlignment="1">
      <alignment horizontal="right" vertical="top" wrapText="1" indent="1"/>
    </xf>
    <xf numFmtId="3" fontId="9" fillId="0" borderId="0" xfId="0" applyNumberFormat="1" applyFont="1" applyBorder="1" applyAlignment="1">
      <alignment vertical="top" wrapText="1"/>
    </xf>
    <xf numFmtId="3" fontId="14" fillId="0" borderId="0" xfId="0" applyNumberFormat="1" applyFont="1" applyBorder="1" applyAlignment="1">
      <alignment vertical="top" wrapText="1"/>
    </xf>
    <xf numFmtId="0" fontId="14" fillId="0" borderId="0" xfId="0" applyFont="1" applyBorder="1"/>
    <xf numFmtId="0" fontId="14" fillId="0" borderId="0" xfId="0" applyFont="1" applyAlignment="1">
      <alignment horizontal="right" vertical="top" wrapText="1" inden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top" wrapText="1" indent="1"/>
    </xf>
    <xf numFmtId="3" fontId="12" fillId="0" borderId="0" xfId="0" applyNumberFormat="1" applyFont="1" applyFill="1" applyBorder="1" applyAlignment="1">
      <alignment horizontal="right" vertical="center" wrapText="1" indent="2"/>
    </xf>
    <xf numFmtId="0" fontId="14" fillId="0" borderId="0" xfId="0" applyFont="1" applyAlignment="1">
      <alignment horizontal="center" vertical="center" textRotation="180"/>
    </xf>
    <xf numFmtId="0" fontId="16" fillId="0" borderId="0" xfId="0" applyFont="1" applyBorder="1" applyAlignment="1">
      <alignment vertical="center"/>
    </xf>
    <xf numFmtId="3" fontId="9" fillId="0" borderId="0" xfId="0" applyNumberFormat="1" applyFont="1" applyFill="1" applyAlignment="1">
      <alignment horizontal="right" vertical="top" wrapText="1" indent="1"/>
    </xf>
    <xf numFmtId="3" fontId="14" fillId="0" borderId="0" xfId="0" applyNumberFormat="1" applyFont="1" applyFill="1" applyAlignment="1">
      <alignment horizontal="right" vertical="top" wrapText="1" indent="1"/>
    </xf>
    <xf numFmtId="3" fontId="9" fillId="0" borderId="0" xfId="0" applyNumberFormat="1" applyFont="1" applyFill="1" applyBorder="1" applyAlignment="1">
      <alignment horizontal="right" vertical="top" wrapText="1" indent="1"/>
    </xf>
    <xf numFmtId="3" fontId="14" fillId="0" borderId="0" xfId="0" applyNumberFormat="1" applyFont="1" applyFill="1" applyBorder="1" applyAlignment="1">
      <alignment horizontal="right" vertical="top" wrapText="1" indent="1"/>
    </xf>
    <xf numFmtId="166" fontId="15" fillId="0" borderId="0" xfId="0" applyNumberFormat="1" applyFont="1" applyFill="1" applyBorder="1" applyAlignment="1">
      <alignment horizontal="right" vertical="top" wrapText="1" indent="3"/>
    </xf>
    <xf numFmtId="0" fontId="9" fillId="0" borderId="0" xfId="0" applyFont="1" applyBorder="1" applyAlignment="1">
      <alignment horizontal="right" vertical="top" wrapText="1" indent="1"/>
    </xf>
    <xf numFmtId="0" fontId="16" fillId="2" borderId="0" xfId="0" applyFont="1" applyFill="1"/>
    <xf numFmtId="0" fontId="9" fillId="0" borderId="0" xfId="0" applyFont="1" applyBorder="1" applyAlignment="1">
      <alignment horizontal="right" vertical="top" wrapText="1" indent="1"/>
    </xf>
    <xf numFmtId="0" fontId="13" fillId="0" borderId="0" xfId="0" applyFont="1" applyFill="1" applyBorder="1" applyAlignment="1">
      <alignment horizontal="center" vertical="center" textRotation="180" wrapText="1"/>
    </xf>
    <xf numFmtId="0" fontId="28" fillId="0" borderId="5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6" fillId="0" borderId="5" xfId="0" applyFont="1" applyBorder="1"/>
    <xf numFmtId="0" fontId="27" fillId="0" borderId="5" xfId="0" applyFont="1" applyBorder="1"/>
    <xf numFmtId="0" fontId="18" fillId="0" borderId="5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28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14" fillId="0" borderId="8" xfId="0" applyFont="1" applyBorder="1"/>
    <xf numFmtId="3" fontId="14" fillId="0" borderId="8" xfId="0" applyNumberFormat="1" applyFont="1" applyBorder="1"/>
    <xf numFmtId="0" fontId="14" fillId="0" borderId="0" xfId="0" applyFont="1" applyFill="1" applyBorder="1" applyAlignment="1">
      <alignment horizontal="left" vertical="center" wrapText="1"/>
    </xf>
    <xf numFmtId="0" fontId="22" fillId="0" borderId="8" xfId="0" applyFont="1" applyBorder="1" applyAlignment="1">
      <alignment horizontal="center" vertical="top" wrapText="1"/>
    </xf>
    <xf numFmtId="0" fontId="22" fillId="0" borderId="8" xfId="0" applyFont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 wrapText="1"/>
    </xf>
    <xf numFmtId="0" fontId="16" fillId="0" borderId="8" xfId="0" applyFont="1" applyBorder="1" applyAlignment="1">
      <alignment vertical="top"/>
    </xf>
    <xf numFmtId="0" fontId="15" fillId="0" borderId="0" xfId="0" applyFont="1" applyBorder="1" applyAlignment="1">
      <alignment horizontal="right" vertical="top" wrapText="1"/>
    </xf>
    <xf numFmtId="0" fontId="9" fillId="0" borderId="0" xfId="0" applyFont="1" applyBorder="1" applyAlignment="1">
      <alignment horizontal="right" vertical="top" wrapText="1"/>
    </xf>
    <xf numFmtId="0" fontId="27" fillId="0" borderId="8" xfId="0" applyFont="1" applyBorder="1" applyAlignment="1">
      <alignment vertical="top"/>
    </xf>
    <xf numFmtId="0" fontId="19" fillId="0" borderId="0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right" vertical="center" wrapText="1" indent="2"/>
    </xf>
    <xf numFmtId="3" fontId="9" fillId="0" borderId="0" xfId="0" applyNumberFormat="1" applyFont="1" applyBorder="1" applyAlignment="1">
      <alignment horizontal="right" vertical="center" wrapText="1" indent="2"/>
    </xf>
    <xf numFmtId="3" fontId="12" fillId="0" borderId="8" xfId="0" applyNumberFormat="1" applyFont="1" applyFill="1" applyBorder="1" applyAlignment="1">
      <alignment horizontal="right" vertical="center" wrapText="1" indent="2"/>
    </xf>
    <xf numFmtId="0" fontId="9" fillId="0" borderId="0" xfId="0" applyFont="1" applyBorder="1" applyAlignment="1">
      <alignment horizontal="right" vertical="center" wrapText="1" indent="6"/>
    </xf>
    <xf numFmtId="0" fontId="12" fillId="0" borderId="8" xfId="0" applyFont="1" applyFill="1" applyBorder="1" applyAlignment="1">
      <alignment horizontal="right" vertical="center" wrapText="1" indent="6"/>
    </xf>
    <xf numFmtId="0" fontId="15" fillId="0" borderId="0" xfId="0" applyFont="1" applyBorder="1" applyAlignment="1">
      <alignment horizontal="right" vertical="center" wrapText="1" indent="6"/>
    </xf>
    <xf numFmtId="0" fontId="12" fillId="0" borderId="0" xfId="0" applyFont="1" applyFill="1" applyBorder="1" applyAlignment="1">
      <alignment horizontal="left" vertical="top" wrapText="1"/>
    </xf>
    <xf numFmtId="0" fontId="16" fillId="0" borderId="8" xfId="0" applyFont="1" applyBorder="1"/>
    <xf numFmtId="166" fontId="12" fillId="0" borderId="0" xfId="0" applyNumberFormat="1" applyFont="1" applyFill="1" applyBorder="1" applyAlignment="1">
      <alignment horizontal="right" vertical="top" wrapText="1" indent="3"/>
    </xf>
    <xf numFmtId="0" fontId="27" fillId="0" borderId="8" xfId="0" applyFont="1" applyBorder="1"/>
    <xf numFmtId="0" fontId="19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166" fontId="15" fillId="0" borderId="0" xfId="0" applyNumberFormat="1" applyFont="1" applyBorder="1" applyAlignment="1">
      <alignment horizontal="right" vertical="top" wrapText="1" indent="3"/>
    </xf>
    <xf numFmtId="0" fontId="22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vertical="top"/>
    </xf>
    <xf numFmtId="0" fontId="27" fillId="0" borderId="0" xfId="0" applyFont="1" applyFill="1" applyAlignment="1">
      <alignment vertical="top"/>
    </xf>
    <xf numFmtId="0" fontId="10" fillId="0" borderId="8" xfId="0" applyFont="1" applyFill="1" applyBorder="1" applyAlignment="1">
      <alignment horizontal="center" vertical="top" wrapText="1"/>
    </xf>
    <xf numFmtId="0" fontId="16" fillId="0" borderId="8" xfId="0" applyFont="1" applyFill="1" applyBorder="1" applyAlignment="1">
      <alignment vertical="top"/>
    </xf>
    <xf numFmtId="0" fontId="9" fillId="0" borderId="5" xfId="0" applyFont="1" applyFill="1" applyBorder="1" applyAlignment="1">
      <alignment horizontal="right" vertical="center" wrapText="1" indent="2"/>
    </xf>
    <xf numFmtId="0" fontId="16" fillId="0" borderId="0" xfId="0" applyFont="1" applyBorder="1" applyAlignment="1">
      <alignment vertical="top"/>
    </xf>
    <xf numFmtId="0" fontId="12" fillId="0" borderId="6" xfId="0" applyFont="1" applyFill="1" applyBorder="1" applyAlignment="1">
      <alignment horizontal="left" vertical="center" wrapText="1" shrinkToFit="1"/>
    </xf>
    <xf numFmtId="0" fontId="9" fillId="0" borderId="6" xfId="0" applyFont="1" applyFill="1" applyBorder="1" applyAlignment="1">
      <alignment horizontal="right" vertical="center" wrapText="1" indent="2"/>
    </xf>
    <xf numFmtId="0" fontId="17" fillId="0" borderId="5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left" vertical="top" wrapText="1"/>
    </xf>
    <xf numFmtId="0" fontId="14" fillId="0" borderId="8" xfId="0" applyFont="1" applyBorder="1" applyAlignment="1">
      <alignment vertical="top"/>
    </xf>
    <xf numFmtId="0" fontId="9" fillId="0" borderId="5" xfId="0" applyFont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27" fillId="0" borderId="0" xfId="0" applyFont="1" applyFill="1" applyBorder="1" applyAlignment="1">
      <alignment vertical="center"/>
    </xf>
    <xf numFmtId="0" fontId="9" fillId="0" borderId="6" xfId="0" applyFont="1" applyFill="1" applyBorder="1" applyAlignment="1">
      <alignment horizontal="right" vertical="center" wrapText="1" indent="3"/>
    </xf>
    <xf numFmtId="0" fontId="28" fillId="0" borderId="0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center" wrapText="1"/>
    </xf>
    <xf numFmtId="0" fontId="33" fillId="0" borderId="5" xfId="0" applyFont="1" applyBorder="1" applyAlignment="1">
      <alignment horizontal="left" vertical="top"/>
    </xf>
    <xf numFmtId="0" fontId="28" fillId="0" borderId="8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right" vertical="center" wrapText="1" indent="1"/>
    </xf>
    <xf numFmtId="0" fontId="14" fillId="0" borderId="8" xfId="0" applyFont="1" applyBorder="1" applyAlignment="1">
      <alignment horizontal="right" vertical="center" wrapText="1" indent="1"/>
    </xf>
    <xf numFmtId="0" fontId="16" fillId="0" borderId="5" xfId="0" applyFont="1" applyBorder="1" applyAlignment="1">
      <alignment vertical="top"/>
    </xf>
    <xf numFmtId="0" fontId="14" fillId="0" borderId="0" xfId="0" applyFont="1" applyBorder="1" applyAlignment="1">
      <alignment horizontal="center" vertical="center" textRotation="180"/>
    </xf>
    <xf numFmtId="0" fontId="14" fillId="0" borderId="5" xfId="0" applyFont="1" applyBorder="1" applyAlignment="1">
      <alignment horizontal="center" wrapText="1"/>
    </xf>
    <xf numFmtId="0" fontId="13" fillId="0" borderId="0" xfId="0" applyFont="1" applyFill="1" applyBorder="1" applyAlignment="1">
      <alignment vertical="top" wrapText="1"/>
    </xf>
    <xf numFmtId="0" fontId="16" fillId="0" borderId="0" xfId="0" applyFont="1" applyFill="1" applyBorder="1"/>
    <xf numFmtId="0" fontId="13" fillId="0" borderId="12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165" fontId="12" fillId="0" borderId="0" xfId="1" applyNumberFormat="1" applyFont="1" applyAlignment="1">
      <alignment horizontal="right" vertical="top"/>
    </xf>
    <xf numFmtId="165" fontId="13" fillId="0" borderId="0" xfId="1" applyNumberFormat="1" applyFont="1" applyAlignment="1">
      <alignment horizontal="right" vertical="top"/>
    </xf>
    <xf numFmtId="165" fontId="12" fillId="0" borderId="0" xfId="1" applyNumberFormat="1" applyFont="1" applyBorder="1" applyAlignment="1">
      <alignment horizontal="right" vertical="top"/>
    </xf>
    <xf numFmtId="166" fontId="14" fillId="0" borderId="0" xfId="0" applyNumberFormat="1" applyFont="1" applyAlignment="1">
      <alignment horizontal="center" vertical="top"/>
    </xf>
    <xf numFmtId="166" fontId="13" fillId="0" borderId="0" xfId="0" applyNumberFormat="1" applyFont="1" applyAlignment="1">
      <alignment horizontal="center" vertical="top" wrapText="1"/>
    </xf>
    <xf numFmtId="166" fontId="13" fillId="0" borderId="0" xfId="0" applyNumberFormat="1" applyFont="1" applyAlignment="1">
      <alignment horizontal="center" vertical="top"/>
    </xf>
    <xf numFmtId="166" fontId="12" fillId="0" borderId="0" xfId="0" applyNumberFormat="1" applyFont="1" applyAlignment="1">
      <alignment horizontal="center" vertical="top"/>
    </xf>
    <xf numFmtId="3" fontId="15" fillId="0" borderId="0" xfId="0" applyNumberFormat="1" applyFont="1" applyFill="1" applyAlignment="1">
      <alignment horizontal="right" vertical="top" wrapText="1" indent="1"/>
    </xf>
    <xf numFmtId="3" fontId="22" fillId="0" borderId="0" xfId="0" applyNumberFormat="1" applyFont="1" applyFill="1" applyAlignment="1">
      <alignment horizontal="right" vertical="top" wrapText="1" indent="1"/>
    </xf>
    <xf numFmtId="3" fontId="22" fillId="0" borderId="0" xfId="0" applyNumberFormat="1" applyFont="1" applyFill="1" applyBorder="1" applyAlignment="1">
      <alignment horizontal="right" vertical="top" wrapText="1" indent="1"/>
    </xf>
    <xf numFmtId="166" fontId="22" fillId="0" borderId="0" xfId="0" applyNumberFormat="1" applyFont="1" applyFill="1" applyAlignment="1">
      <alignment horizontal="right" vertical="top" wrapText="1" indent="3"/>
    </xf>
    <xf numFmtId="166" fontId="9" fillId="0" borderId="0" xfId="0" applyNumberFormat="1" applyFont="1" applyFill="1" applyAlignment="1">
      <alignment horizontal="right" vertical="top" wrapText="1" indent="3"/>
    </xf>
    <xf numFmtId="166" fontId="14" fillId="0" borderId="0" xfId="0" applyNumberFormat="1" applyFont="1" applyFill="1" applyAlignment="1">
      <alignment horizontal="right" vertical="top" wrapText="1" indent="3"/>
    </xf>
    <xf numFmtId="166" fontId="14" fillId="0" borderId="0" xfId="0" applyNumberFormat="1" applyFont="1" applyFill="1" applyBorder="1" applyAlignment="1">
      <alignment horizontal="right" vertical="top" wrapText="1" indent="3"/>
    </xf>
    <xf numFmtId="166" fontId="9" fillId="0" borderId="0" xfId="0" applyNumberFormat="1" applyFont="1" applyFill="1" applyBorder="1" applyAlignment="1">
      <alignment horizontal="right" vertical="top" wrapText="1" indent="3"/>
    </xf>
    <xf numFmtId="166" fontId="9" fillId="0" borderId="0" xfId="0" applyNumberFormat="1" applyFont="1" applyFill="1" applyAlignment="1">
      <alignment horizontal="right" vertical="top" wrapText="1" indent="1"/>
    </xf>
    <xf numFmtId="0" fontId="9" fillId="0" borderId="0" xfId="0" applyFont="1" applyFill="1" applyAlignment="1">
      <alignment horizontal="right" vertical="top" wrapText="1" indent="1"/>
    </xf>
    <xf numFmtId="0" fontId="14" fillId="0" borderId="0" xfId="0" applyFont="1" applyFill="1" applyAlignment="1">
      <alignment horizontal="right" vertical="top" wrapText="1" indent="1"/>
    </xf>
    <xf numFmtId="0" fontId="14" fillId="0" borderId="0" xfId="0" applyFont="1" applyFill="1" applyBorder="1" applyAlignment="1">
      <alignment horizontal="right" vertical="top" wrapText="1" indent="1"/>
    </xf>
    <xf numFmtId="0" fontId="22" fillId="0" borderId="0" xfId="0" applyFont="1" applyFill="1" applyAlignment="1">
      <alignment horizontal="left" vertical="top" wrapText="1"/>
    </xf>
    <xf numFmtId="166" fontId="9" fillId="0" borderId="0" xfId="0" applyNumberFormat="1" applyFont="1" applyFill="1" applyAlignment="1">
      <alignment horizontal="right" vertical="top" wrapText="1" indent="4"/>
    </xf>
    <xf numFmtId="166" fontId="14" fillId="0" borderId="0" xfId="0" applyNumberFormat="1" applyFont="1" applyFill="1" applyAlignment="1">
      <alignment horizontal="right" vertical="top" wrapText="1" indent="4"/>
    </xf>
    <xf numFmtId="0" fontId="22" fillId="0" borderId="0" xfId="0" applyFont="1" applyFill="1" applyAlignment="1">
      <alignment horizontal="right" vertical="top" wrapText="1" indent="4"/>
    </xf>
    <xf numFmtId="166" fontId="15" fillId="0" borderId="0" xfId="0" applyNumberFormat="1" applyFont="1" applyFill="1" applyAlignment="1">
      <alignment horizontal="right" vertical="top" wrapText="1" indent="4"/>
    </xf>
    <xf numFmtId="166" fontId="22" fillId="0" borderId="0" xfId="0" applyNumberFormat="1" applyFont="1" applyFill="1" applyAlignment="1">
      <alignment horizontal="right" vertical="top" wrapText="1" indent="4"/>
    </xf>
    <xf numFmtId="0" fontId="15" fillId="0" borderId="0" xfId="0" applyFont="1" applyFill="1" applyBorder="1" applyAlignment="1">
      <alignment horizontal="center" vertical="top" wrapText="1"/>
    </xf>
    <xf numFmtId="166" fontId="15" fillId="0" borderId="0" xfId="0" applyNumberFormat="1" applyFont="1" applyFill="1" applyBorder="1" applyAlignment="1">
      <alignment horizontal="right" vertical="top" wrapText="1" indent="4"/>
    </xf>
    <xf numFmtId="0" fontId="14" fillId="0" borderId="0" xfId="0" applyFont="1" applyBorder="1" applyAlignment="1">
      <alignment horizontal="right" vertical="top" wrapText="1" indent="1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textRotation="180" wrapText="1"/>
    </xf>
    <xf numFmtId="0" fontId="22" fillId="0" borderId="0" xfId="0" applyFont="1" applyFill="1" applyAlignment="1">
      <alignment horizontal="right" vertical="top" wrapText="1" indent="1"/>
    </xf>
    <xf numFmtId="0" fontId="2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top" wrapText="1" indent="1"/>
    </xf>
    <xf numFmtId="0" fontId="14" fillId="0" borderId="5" xfId="0" applyFont="1" applyBorder="1" applyAlignment="1">
      <alignment horizontal="right" vertical="top" wrapText="1" indent="1"/>
    </xf>
    <xf numFmtId="0" fontId="14" fillId="0" borderId="5" xfId="0" applyFont="1" applyBorder="1"/>
    <xf numFmtId="4" fontId="15" fillId="0" borderId="0" xfId="0" applyNumberFormat="1" applyFont="1" applyFill="1" applyAlignment="1">
      <alignment horizontal="right" vertical="top" wrapText="1" indent="1"/>
    </xf>
    <xf numFmtId="166" fontId="15" fillId="0" borderId="0" xfId="0" applyNumberFormat="1" applyFont="1" applyFill="1" applyAlignment="1">
      <alignment horizontal="right" vertical="top" wrapText="1" indent="3"/>
    </xf>
    <xf numFmtId="3" fontId="22" fillId="0" borderId="0" xfId="0" applyNumberFormat="1" applyFont="1" applyBorder="1" applyAlignment="1">
      <alignment horizontal="right" vertical="top" wrapText="1" indent="1"/>
    </xf>
    <xf numFmtId="3" fontId="22" fillId="0" borderId="5" xfId="0" applyNumberFormat="1" applyFont="1" applyBorder="1" applyAlignment="1">
      <alignment horizontal="right" vertical="top" wrapText="1" indent="1"/>
    </xf>
    <xf numFmtId="3" fontId="16" fillId="0" borderId="0" xfId="0" applyNumberFormat="1" applyFont="1" applyBorder="1" applyAlignment="1">
      <alignment vertical="top"/>
    </xf>
    <xf numFmtId="3" fontId="12" fillId="0" borderId="6" xfId="0" applyNumberFormat="1" applyFont="1" applyFill="1" applyBorder="1" applyAlignment="1">
      <alignment horizontal="right" vertical="center" wrapText="1" indent="1"/>
    </xf>
    <xf numFmtId="0" fontId="30" fillId="0" borderId="0" xfId="0" applyFont="1" applyBorder="1" applyAlignment="1">
      <alignment horizontal="center" vertical="top"/>
    </xf>
    <xf numFmtId="0" fontId="14" fillId="0" borderId="19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vertical="top" wrapText="1"/>
    </xf>
    <xf numFmtId="0" fontId="13" fillId="0" borderId="19" xfId="0" applyFont="1" applyFill="1" applyBorder="1" applyAlignment="1">
      <alignment vertical="top" wrapText="1"/>
    </xf>
    <xf numFmtId="0" fontId="15" fillId="0" borderId="14" xfId="0" applyFont="1" applyBorder="1" applyAlignment="1">
      <alignment horizontal="left" vertical="top" wrapText="1"/>
    </xf>
    <xf numFmtId="166" fontId="15" fillId="0" borderId="5" xfId="0" applyNumberFormat="1" applyFont="1" applyBorder="1" applyAlignment="1">
      <alignment horizontal="right" vertical="top" wrapText="1" indent="3"/>
    </xf>
    <xf numFmtId="0" fontId="14" fillId="0" borderId="5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/>
    </xf>
    <xf numFmtId="0" fontId="12" fillId="0" borderId="15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vertical="center" wrapText="1"/>
    </xf>
    <xf numFmtId="0" fontId="13" fillId="0" borderId="26" xfId="0" applyFont="1" applyFill="1" applyBorder="1" applyAlignment="1">
      <alignment vertical="center" wrapText="1"/>
    </xf>
    <xf numFmtId="0" fontId="27" fillId="0" borderId="5" xfId="0" applyFont="1" applyBorder="1" applyAlignment="1">
      <alignment vertical="top"/>
    </xf>
    <xf numFmtId="0" fontId="35" fillId="0" borderId="5" xfId="0" applyFont="1" applyBorder="1" applyAlignment="1">
      <alignment horizontal="right" vertical="top" wrapText="1"/>
    </xf>
    <xf numFmtId="0" fontId="22" fillId="0" borderId="5" xfId="0" applyFont="1" applyBorder="1" applyAlignment="1">
      <alignment horizontal="right" vertical="top" wrapText="1"/>
    </xf>
    <xf numFmtId="0" fontId="9" fillId="0" borderId="5" xfId="0" applyFont="1" applyFill="1" applyBorder="1" applyAlignment="1">
      <alignment horizontal="center" vertical="top" textRotation="180" wrapText="1"/>
    </xf>
    <xf numFmtId="0" fontId="14" fillId="0" borderId="5" xfId="0" applyFont="1" applyFill="1" applyBorder="1" applyAlignment="1">
      <alignment horizontal="center" vertical="top" textRotation="180" wrapText="1"/>
    </xf>
    <xf numFmtId="0" fontId="14" fillId="0" borderId="17" xfId="0" applyFont="1" applyFill="1" applyBorder="1" applyAlignment="1">
      <alignment horizontal="center" vertical="top" textRotation="180" wrapText="1"/>
    </xf>
    <xf numFmtId="167" fontId="12" fillId="0" borderId="0" xfId="1" applyNumberFormat="1" applyFont="1" applyFill="1" applyBorder="1" applyAlignment="1">
      <alignment horizontal="center" vertical="center"/>
    </xf>
    <xf numFmtId="167" fontId="12" fillId="0" borderId="19" xfId="1" applyNumberFormat="1" applyFont="1" applyFill="1" applyBorder="1" applyAlignment="1">
      <alignment horizontal="center" vertical="center"/>
    </xf>
    <xf numFmtId="167" fontId="13" fillId="0" borderId="0" xfId="1" applyNumberFormat="1" applyFont="1" applyFill="1" applyBorder="1" applyAlignment="1">
      <alignment horizontal="center" vertical="center"/>
    </xf>
    <xf numFmtId="167" fontId="13" fillId="0" borderId="19" xfId="1" applyNumberFormat="1" applyFont="1" applyFill="1" applyBorder="1" applyAlignment="1">
      <alignment horizontal="center" vertical="center"/>
    </xf>
    <xf numFmtId="167" fontId="14" fillId="0" borderId="0" xfId="1" applyNumberFormat="1" applyFont="1" applyFill="1" applyBorder="1" applyAlignment="1">
      <alignment horizontal="center" vertical="center"/>
    </xf>
    <xf numFmtId="167" fontId="12" fillId="0" borderId="5" xfId="1" applyNumberFormat="1" applyFont="1" applyFill="1" applyBorder="1" applyAlignment="1">
      <alignment horizontal="center" vertical="center"/>
    </xf>
    <xf numFmtId="167" fontId="13" fillId="0" borderId="5" xfId="1" applyNumberFormat="1" applyFont="1" applyFill="1" applyBorder="1" applyAlignment="1">
      <alignment horizontal="center" vertical="center"/>
    </xf>
    <xf numFmtId="167" fontId="13" fillId="0" borderId="17" xfId="1" applyNumberFormat="1" applyFont="1" applyFill="1" applyBorder="1" applyAlignment="1">
      <alignment horizontal="center" vertical="center"/>
    </xf>
    <xf numFmtId="0" fontId="39" fillId="0" borderId="12" xfId="0" applyFont="1" applyBorder="1" applyAlignment="1">
      <alignment horizontal="center" vertical="top" wrapText="1"/>
    </xf>
    <xf numFmtId="0" fontId="43" fillId="0" borderId="1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 indent="1"/>
    </xf>
    <xf numFmtId="0" fontId="43" fillId="0" borderId="15" xfId="0" applyFont="1" applyBorder="1" applyAlignment="1">
      <alignment horizontal="left" vertical="top" wrapText="1"/>
    </xf>
    <xf numFmtId="0" fontId="43" fillId="0" borderId="0" xfId="0" applyFont="1" applyBorder="1" applyAlignment="1">
      <alignment horizontal="left" vertical="top" wrapText="1"/>
    </xf>
    <xf numFmtId="0" fontId="44" fillId="0" borderId="0" xfId="0" applyFont="1" applyAlignment="1">
      <alignment vertical="top"/>
    </xf>
    <xf numFmtId="0" fontId="23" fillId="0" borderId="0" xfId="0" applyFont="1" applyAlignment="1">
      <alignment vertical="top"/>
    </xf>
    <xf numFmtId="3" fontId="15" fillId="0" borderId="5" xfId="0" applyNumberFormat="1" applyFont="1" applyFill="1" applyBorder="1" applyAlignment="1">
      <alignment horizontal="right" vertical="top" wrapText="1" indent="1"/>
    </xf>
    <xf numFmtId="3" fontId="22" fillId="0" borderId="5" xfId="0" applyNumberFormat="1" applyFont="1" applyFill="1" applyBorder="1" applyAlignment="1">
      <alignment horizontal="right" vertical="top" wrapText="1" indent="1"/>
    </xf>
    <xf numFmtId="0" fontId="22" fillId="0" borderId="5" xfId="0" applyFont="1" applyBorder="1" applyAlignment="1">
      <alignment horizontal="right" vertical="top" wrapText="1" indent="1"/>
    </xf>
    <xf numFmtId="0" fontId="15" fillId="0" borderId="0" xfId="0" applyFont="1" applyFill="1" applyBorder="1" applyAlignment="1">
      <alignment horizontal="left" vertical="top" wrapText="1" indent="2"/>
    </xf>
    <xf numFmtId="0" fontId="9" fillId="0" borderId="8" xfId="0" applyFont="1" applyFill="1" applyBorder="1" applyAlignment="1">
      <alignment horizontal="right" vertical="center"/>
    </xf>
    <xf numFmtId="0" fontId="9" fillId="0" borderId="5" xfId="0" applyFont="1" applyFill="1" applyBorder="1" applyAlignment="1">
      <alignment horizontal="right" vertical="center"/>
    </xf>
    <xf numFmtId="0" fontId="9" fillId="0" borderId="8" xfId="0" applyFont="1" applyFill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vertical="top" wrapText="1" indent="2"/>
    </xf>
    <xf numFmtId="0" fontId="9" fillId="0" borderId="8" xfId="0" applyFont="1" applyFill="1" applyBorder="1" applyAlignment="1">
      <alignment horizontal="center" wrapText="1"/>
    </xf>
    <xf numFmtId="0" fontId="37" fillId="0" borderId="5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left" vertical="top" wrapText="1"/>
    </xf>
    <xf numFmtId="0" fontId="14" fillId="0" borderId="0" xfId="0" applyFont="1" applyAlignment="1">
      <alignment horizontal="center" vertical="center" textRotation="180"/>
    </xf>
    <xf numFmtId="0" fontId="9" fillId="0" borderId="6" xfId="0" applyFont="1" applyFill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right" vertical="center" wrapText="1"/>
    </xf>
    <xf numFmtId="0" fontId="14" fillId="0" borderId="5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top" wrapText="1" indent="1"/>
    </xf>
    <xf numFmtId="0" fontId="9" fillId="0" borderId="5" xfId="0" applyFont="1" applyBorder="1" applyAlignment="1">
      <alignment horizontal="right" vertical="top" wrapText="1" indent="1"/>
    </xf>
    <xf numFmtId="0" fontId="9" fillId="0" borderId="0" xfId="0" applyFont="1" applyAlignment="1">
      <alignment horizontal="left" vertical="center" wrapText="1"/>
    </xf>
    <xf numFmtId="0" fontId="9" fillId="0" borderId="0" xfId="0" applyFont="1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28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9" fillId="0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2" fillId="0" borderId="0" xfId="0" applyFont="1" applyBorder="1" applyAlignment="1">
      <alignment horizontal="center" vertical="top" wrapText="1"/>
    </xf>
    <xf numFmtId="0" fontId="30" fillId="0" borderId="0" xfId="0" applyFont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9" fillId="0" borderId="9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wrapText="1"/>
    </xf>
    <xf numFmtId="0" fontId="33" fillId="0" borderId="0" xfId="0" applyFont="1" applyBorder="1" applyAlignment="1">
      <alignment horizontal="center" wrapText="1"/>
    </xf>
    <xf numFmtId="0" fontId="3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top" wrapText="1"/>
    </xf>
    <xf numFmtId="0" fontId="36" fillId="0" borderId="0" xfId="0" applyFont="1" applyBorder="1" applyAlignment="1">
      <alignment horizontal="center" vertical="top" wrapText="1"/>
    </xf>
    <xf numFmtId="0" fontId="43" fillId="0" borderId="6" xfId="0" applyFont="1" applyBorder="1" applyAlignment="1">
      <alignment horizontal="left" vertical="top" wrapText="1" indent="1"/>
    </xf>
    <xf numFmtId="0" fontId="43" fillId="0" borderId="18" xfId="0" applyFont="1" applyBorder="1" applyAlignment="1">
      <alignment horizontal="left" vertical="top" wrapText="1" indent="1"/>
    </xf>
    <xf numFmtId="0" fontId="43" fillId="0" borderId="21" xfId="0" applyFont="1" applyBorder="1" applyAlignment="1">
      <alignment horizontal="left" vertical="top" wrapText="1" indent="1"/>
    </xf>
    <xf numFmtId="0" fontId="43" fillId="0" borderId="22" xfId="0" applyFont="1" applyBorder="1" applyAlignment="1">
      <alignment horizontal="left" vertical="top" wrapText="1" indent="1"/>
    </xf>
    <xf numFmtId="0" fontId="43" fillId="0" borderId="23" xfId="0" applyFont="1" applyBorder="1" applyAlignment="1">
      <alignment horizontal="left" vertical="top" wrapText="1" indent="1"/>
    </xf>
    <xf numFmtId="0" fontId="34" fillId="0" borderId="0" xfId="0" applyFont="1" applyBorder="1" applyAlignment="1">
      <alignment horizontal="center" vertical="top" wrapText="1"/>
    </xf>
    <xf numFmtId="0" fontId="38" fillId="0" borderId="0" xfId="0" applyFont="1" applyBorder="1" applyAlignment="1">
      <alignment horizontal="center" vertical="top" wrapText="1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/>
    </xf>
    <xf numFmtId="0" fontId="39" fillId="0" borderId="8" xfId="0" applyFont="1" applyFill="1" applyBorder="1" applyAlignment="1">
      <alignment horizontal="center" vertical="center" wrapText="1"/>
    </xf>
    <xf numFmtId="0" fontId="39" fillId="0" borderId="16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9" fillId="0" borderId="1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top"/>
    </xf>
    <xf numFmtId="0" fontId="30" fillId="0" borderId="0" xfId="0" applyFont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center" textRotation="180" wrapText="1"/>
    </xf>
    <xf numFmtId="0" fontId="9" fillId="0" borderId="11" xfId="0" applyFont="1" applyFill="1" applyBorder="1" applyAlignment="1">
      <alignment horizontal="right" vertical="center"/>
    </xf>
    <xf numFmtId="0" fontId="9" fillId="0" borderId="16" xfId="0" applyFont="1" applyFill="1" applyBorder="1" applyAlignment="1">
      <alignment horizontal="right" vertical="center"/>
    </xf>
    <xf numFmtId="0" fontId="14" fillId="0" borderId="2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/>
    </xf>
    <xf numFmtId="0" fontId="36" fillId="0" borderId="0" xfId="0" applyFont="1" applyBorder="1" applyAlignment="1">
      <alignment horizontal="center" vertical="top"/>
    </xf>
    <xf numFmtId="0" fontId="9" fillId="0" borderId="0" xfId="0" applyFont="1" applyAlignment="1">
      <alignment horizontal="left" vertical="top" wrapText="1" indent="1"/>
    </xf>
    <xf numFmtId="0" fontId="9" fillId="0" borderId="0" xfId="0" applyFont="1" applyBorder="1" applyAlignment="1">
      <alignment horizontal="left" vertical="top" wrapText="1" indent="1"/>
    </xf>
    <xf numFmtId="0" fontId="9" fillId="0" borderId="0" xfId="0" applyFont="1" applyBorder="1" applyAlignment="1">
      <alignment horizontal="center" vertical="top" wrapText="1"/>
    </xf>
    <xf numFmtId="0" fontId="28" fillId="0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2" fillId="0" borderId="0" xfId="0" applyFont="1" applyFill="1" applyBorder="1" applyAlignment="1">
      <alignment horizontal="center" vertical="top" wrapText="1"/>
    </xf>
    <xf numFmtId="0" fontId="30" fillId="0" borderId="0" xfId="0" applyFont="1" applyFill="1" applyBorder="1" applyAlignment="1">
      <alignment horizontal="center" vertical="top" wrapText="1"/>
    </xf>
  </cellXfs>
  <cellStyles count="12">
    <cellStyle name="Comma" xfId="1" builtinId="3"/>
    <cellStyle name="Comma 2" xfId="2"/>
    <cellStyle name="Comma 3" xfId="3"/>
    <cellStyle name="Comma 4" xfId="4"/>
    <cellStyle name="Comma 4 2" xfId="5"/>
    <cellStyle name="Comma 4 3" xfId="6"/>
    <cellStyle name="Normal" xfId="0" builtinId="0"/>
    <cellStyle name="Normal 2" xfId="7"/>
    <cellStyle name="Normal 3" xfId="8"/>
    <cellStyle name="Normal 4" xfId="9"/>
    <cellStyle name="Normal 4 2" xfId="10"/>
    <cellStyle name="Percent" xfId="11" builtinId="5"/>
  </cellStyles>
  <dxfs count="0"/>
  <tableStyles count="0" defaultTableStyle="TableStyleMedium9" defaultPivotStyle="PivotStyleLight16"/>
  <colors>
    <mruColors>
      <color rgb="FF00CC99"/>
      <color rgb="FF23CF8D"/>
      <color rgb="FFFFE285"/>
      <color rgb="FFABFFE9"/>
      <color rgb="FF71FFDA"/>
      <color rgb="FF740228"/>
      <color rgb="FF990033"/>
      <color rgb="FFFEC200"/>
      <color rgb="FFFFD13F"/>
      <color rgb="FFE2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view="pageBreakPreview" zoomScaleNormal="100" zoomScaleSheetLayoutView="100" workbookViewId="0">
      <selection sqref="A1:J1"/>
    </sheetView>
  </sheetViews>
  <sheetFormatPr defaultRowHeight="16.5"/>
  <cols>
    <col min="1" max="1" width="8.7109375" style="2" customWidth="1"/>
    <col min="2" max="2" width="25.7109375" style="2" customWidth="1"/>
    <col min="3" max="10" width="7.7109375" style="2" customWidth="1"/>
    <col min="11" max="16384" width="9.140625" style="2"/>
  </cols>
  <sheetData>
    <row r="1" spans="1:10" ht="15" customHeight="1">
      <c r="A1" s="308" t="s">
        <v>141</v>
      </c>
      <c r="B1" s="308"/>
      <c r="C1" s="308"/>
      <c r="D1" s="308"/>
      <c r="E1" s="308"/>
      <c r="F1" s="308"/>
      <c r="G1" s="308"/>
      <c r="H1" s="308"/>
      <c r="I1" s="308"/>
      <c r="J1" s="308"/>
    </row>
    <row r="2" spans="1:10" ht="15" customHeight="1">
      <c r="A2" s="309" t="s">
        <v>143</v>
      </c>
      <c r="B2" s="309"/>
      <c r="C2" s="309"/>
      <c r="D2" s="309"/>
      <c r="E2" s="309"/>
      <c r="F2" s="309"/>
      <c r="G2" s="309"/>
      <c r="H2" s="309"/>
      <c r="I2" s="309"/>
      <c r="J2" s="309"/>
    </row>
    <row r="3" spans="1:10" ht="15" customHeight="1" thickBot="1">
      <c r="A3" s="131"/>
      <c r="B3" s="132"/>
      <c r="C3" s="132"/>
      <c r="D3" s="132"/>
      <c r="E3" s="129"/>
      <c r="F3" s="129"/>
      <c r="G3" s="129"/>
      <c r="H3" s="129"/>
      <c r="I3" s="129"/>
      <c r="J3" s="129"/>
    </row>
    <row r="4" spans="1:10" ht="22.5" customHeight="1">
      <c r="A4" s="311" t="s">
        <v>43</v>
      </c>
      <c r="B4" s="311"/>
      <c r="C4" s="306">
        <v>2011</v>
      </c>
      <c r="D4" s="306">
        <v>2012</v>
      </c>
      <c r="E4" s="304">
        <v>2013</v>
      </c>
      <c r="F4" s="304">
        <v>2014</v>
      </c>
      <c r="G4" s="304">
        <v>2015</v>
      </c>
      <c r="H4" s="304">
        <v>2016</v>
      </c>
      <c r="I4" s="304">
        <v>2017</v>
      </c>
      <c r="J4" s="304">
        <v>2018</v>
      </c>
    </row>
    <row r="5" spans="1:10" ht="22.5" customHeight="1" thickBot="1">
      <c r="A5" s="312" t="s">
        <v>44</v>
      </c>
      <c r="B5" s="312"/>
      <c r="C5" s="307"/>
      <c r="D5" s="307"/>
      <c r="E5" s="305"/>
      <c r="F5" s="305"/>
      <c r="G5" s="305"/>
      <c r="H5" s="305"/>
      <c r="I5" s="305"/>
      <c r="J5" s="305"/>
    </row>
    <row r="6" spans="1:10" s="77" customFormat="1" ht="15" customHeight="1">
      <c r="A6" s="99"/>
      <c r="B6" s="99"/>
      <c r="C6" s="100"/>
      <c r="D6" s="100"/>
      <c r="E6" s="101"/>
      <c r="F6" s="101"/>
      <c r="G6" s="101"/>
      <c r="H6" s="101"/>
      <c r="I6" s="101"/>
    </row>
    <row r="7" spans="1:10" ht="49.5" customHeight="1">
      <c r="A7" s="313" t="s">
        <v>46</v>
      </c>
      <c r="B7" s="313"/>
      <c r="C7" s="87">
        <v>42346</v>
      </c>
      <c r="D7" s="87">
        <v>47778</v>
      </c>
      <c r="E7" s="87">
        <v>54016</v>
      </c>
      <c r="F7" s="87">
        <v>62151</v>
      </c>
      <c r="G7" s="87">
        <v>67842</v>
      </c>
      <c r="H7" s="50">
        <v>74773</v>
      </c>
      <c r="I7" s="50">
        <f>SUM(I8:I9)</f>
        <v>83102.609782999993</v>
      </c>
      <c r="J7" s="50">
        <f>SUM(J8:J9)</f>
        <v>92561.341706329418</v>
      </c>
    </row>
    <row r="8" spans="1:10" ht="49.5" customHeight="1">
      <c r="A8" s="303" t="s">
        <v>47</v>
      </c>
      <c r="B8" s="303"/>
      <c r="C8" s="88">
        <v>36179</v>
      </c>
      <c r="D8" s="88">
        <v>40769</v>
      </c>
      <c r="E8" s="88">
        <v>47558</v>
      </c>
      <c r="F8" s="88">
        <v>55539</v>
      </c>
      <c r="G8" s="88">
        <v>60541</v>
      </c>
      <c r="H8" s="89">
        <v>66497</v>
      </c>
      <c r="I8" s="89">
        <v>73662.118352337246</v>
      </c>
      <c r="J8" s="89">
        <v>82741.382549196147</v>
      </c>
    </row>
    <row r="9" spans="1:10" ht="49.5" customHeight="1">
      <c r="A9" s="303" t="s">
        <v>48</v>
      </c>
      <c r="B9" s="303"/>
      <c r="C9" s="88">
        <v>6167</v>
      </c>
      <c r="D9" s="88">
        <v>7009</v>
      </c>
      <c r="E9" s="88">
        <v>6457</v>
      </c>
      <c r="F9" s="88">
        <v>6612</v>
      </c>
      <c r="G9" s="88">
        <v>7301</v>
      </c>
      <c r="H9" s="89">
        <v>8276</v>
      </c>
      <c r="I9" s="89">
        <v>9440.491430662747</v>
      </c>
      <c r="J9" s="89">
        <v>9819.9591571332767</v>
      </c>
    </row>
    <row r="10" spans="1:10" ht="49.5" customHeight="1">
      <c r="A10" s="310" t="s">
        <v>49</v>
      </c>
      <c r="B10" s="310"/>
      <c r="C10" s="90">
        <v>22.1</v>
      </c>
      <c r="D10" s="91">
        <f t="shared" ref="D10:J10" si="0">100*D7/C7-100</f>
        <v>12.82765786615029</v>
      </c>
      <c r="E10" s="91">
        <f t="shared" si="0"/>
        <v>13.056218343170499</v>
      </c>
      <c r="F10" s="91">
        <f t="shared" si="0"/>
        <v>15.060352488151665</v>
      </c>
      <c r="G10" s="91">
        <f t="shared" si="0"/>
        <v>9.1567311869479227</v>
      </c>
      <c r="H10" s="91">
        <f t="shared" si="0"/>
        <v>10.216385130155359</v>
      </c>
      <c r="I10" s="91">
        <f t="shared" si="0"/>
        <v>11.139863029435759</v>
      </c>
      <c r="J10" s="91">
        <f t="shared" si="0"/>
        <v>11.381991429665504</v>
      </c>
    </row>
    <row r="11" spans="1:10" ht="49.5" customHeight="1">
      <c r="A11" s="313" t="s">
        <v>50</v>
      </c>
      <c r="B11" s="313"/>
      <c r="C11" s="87">
        <v>131002</v>
      </c>
      <c r="D11" s="87">
        <v>141433</v>
      </c>
      <c r="E11" s="87">
        <v>152875</v>
      </c>
      <c r="F11" s="87">
        <v>169282</v>
      </c>
      <c r="G11" s="87">
        <v>176937</v>
      </c>
      <c r="H11" s="50">
        <v>189253</v>
      </c>
      <c r="I11" s="50">
        <v>205408.34931361536</v>
      </c>
      <c r="J11" s="50">
        <v>221272.48073399995</v>
      </c>
    </row>
    <row r="12" spans="1:10" ht="49.5" customHeight="1">
      <c r="A12" s="310" t="s">
        <v>51</v>
      </c>
      <c r="B12" s="310"/>
      <c r="C12" s="90">
        <v>13.4</v>
      </c>
      <c r="D12" s="91">
        <f t="shared" ref="D12:J12" si="1">100*D11/C11-100</f>
        <v>7.9624738553609831</v>
      </c>
      <c r="E12" s="91">
        <f t="shared" si="1"/>
        <v>8.090049705514275</v>
      </c>
      <c r="F12" s="91">
        <f t="shared" si="1"/>
        <v>10.73229762878168</v>
      </c>
      <c r="G12" s="91">
        <f t="shared" si="1"/>
        <v>4.522040146028516</v>
      </c>
      <c r="H12" s="91">
        <f t="shared" si="1"/>
        <v>6.9606696168692821</v>
      </c>
      <c r="I12" s="91">
        <f t="shared" si="1"/>
        <v>8.5363768677988361</v>
      </c>
      <c r="J12" s="91">
        <f t="shared" si="1"/>
        <v>7.7232164483067862</v>
      </c>
    </row>
    <row r="13" spans="1:10" ht="49.5" customHeight="1">
      <c r="A13" s="313" t="s">
        <v>52</v>
      </c>
      <c r="B13" s="313"/>
      <c r="C13" s="87">
        <v>162835</v>
      </c>
      <c r="D13" s="87">
        <v>174448</v>
      </c>
      <c r="E13" s="87">
        <v>193274</v>
      </c>
      <c r="F13" s="87">
        <v>217452</v>
      </c>
      <c r="G13" s="87">
        <v>235191</v>
      </c>
      <c r="H13" s="50">
        <v>253878</v>
      </c>
      <c r="I13" s="50">
        <v>276147.26299999992</v>
      </c>
      <c r="J13" s="50">
        <v>302414.63652200002</v>
      </c>
    </row>
    <row r="14" spans="1:10" ht="49.5" customHeight="1">
      <c r="A14" s="310" t="s">
        <v>49</v>
      </c>
      <c r="B14" s="310"/>
      <c r="C14" s="90">
        <v>18.100000000000001</v>
      </c>
      <c r="D14" s="91">
        <f t="shared" ref="D14:J14" si="2">100*D13/C13-100</f>
        <v>7.1317591426904556</v>
      </c>
      <c r="E14" s="91">
        <f t="shared" si="2"/>
        <v>10.791754562964329</v>
      </c>
      <c r="F14" s="91">
        <f t="shared" si="2"/>
        <v>12.509701253143206</v>
      </c>
      <c r="G14" s="91">
        <f t="shared" si="2"/>
        <v>8.1576623806633251</v>
      </c>
      <c r="H14" s="91">
        <f t="shared" si="2"/>
        <v>7.9454570965725679</v>
      </c>
      <c r="I14" s="91">
        <f t="shared" si="2"/>
        <v>8.7716395276471104</v>
      </c>
      <c r="J14" s="91">
        <f t="shared" si="2"/>
        <v>9.5120890341759861</v>
      </c>
    </row>
    <row r="15" spans="1:10" ht="49.5" customHeight="1">
      <c r="A15" s="313" t="s">
        <v>53</v>
      </c>
      <c r="B15" s="313"/>
      <c r="C15" s="92">
        <v>2.4500000000000002</v>
      </c>
      <c r="D15" s="93">
        <v>2.5299999999999998</v>
      </c>
      <c r="E15" s="93">
        <v>2.56</v>
      </c>
      <c r="F15" s="94">
        <v>2.6</v>
      </c>
      <c r="G15" s="94">
        <v>2.2999999999999998</v>
      </c>
      <c r="H15" s="95">
        <v>2.31</v>
      </c>
      <c r="I15" s="95">
        <v>2.35</v>
      </c>
      <c r="J15" s="95">
        <v>2.4448003511864753</v>
      </c>
    </row>
    <row r="16" spans="1:10" ht="49.5" customHeight="1">
      <c r="A16" s="310" t="s">
        <v>49</v>
      </c>
      <c r="B16" s="310"/>
      <c r="C16" s="96">
        <v>-5</v>
      </c>
      <c r="D16" s="91">
        <f t="shared" ref="D16:J16" si="3">100*D15/C15-100</f>
        <v>3.2653061224489619</v>
      </c>
      <c r="E16" s="91">
        <f t="shared" si="3"/>
        <v>1.185770750988155</v>
      </c>
      <c r="F16" s="91">
        <f t="shared" si="3"/>
        <v>1.5625</v>
      </c>
      <c r="G16" s="91">
        <f t="shared" si="3"/>
        <v>-11.538461538461547</v>
      </c>
      <c r="H16" s="91">
        <f t="shared" si="3"/>
        <v>0.43478260869565588</v>
      </c>
      <c r="I16" s="91">
        <f t="shared" si="3"/>
        <v>1.731601731601728</v>
      </c>
      <c r="J16" s="91">
        <f t="shared" si="3"/>
        <v>4.0340574972968142</v>
      </c>
    </row>
    <row r="17" spans="1:10" ht="49.5" customHeight="1">
      <c r="A17" s="313" t="s">
        <v>54</v>
      </c>
      <c r="B17" s="313"/>
      <c r="C17" s="92">
        <v>260</v>
      </c>
      <c r="D17" s="93">
        <v>274</v>
      </c>
      <c r="E17" s="93">
        <v>279</v>
      </c>
      <c r="F17" s="93">
        <v>286</v>
      </c>
      <c r="G17" s="97">
        <v>288</v>
      </c>
      <c r="H17" s="50">
        <v>294</v>
      </c>
      <c r="I17" s="50">
        <v>300.93645436505062</v>
      </c>
      <c r="J17" s="50">
        <v>306.07225965796204</v>
      </c>
    </row>
    <row r="18" spans="1:10" ht="49.5" customHeight="1">
      <c r="A18" s="310" t="s">
        <v>55</v>
      </c>
      <c r="B18" s="310"/>
      <c r="C18" s="98">
        <v>3.2</v>
      </c>
      <c r="D18" s="91">
        <f t="shared" ref="D18:J18" si="4">100*D17/C17-100</f>
        <v>5.3846153846153868</v>
      </c>
      <c r="E18" s="91">
        <f t="shared" si="4"/>
        <v>1.8248175182481816</v>
      </c>
      <c r="F18" s="91">
        <f t="shared" si="4"/>
        <v>2.5089605734766991</v>
      </c>
      <c r="G18" s="91">
        <f t="shared" si="4"/>
        <v>0.69930069930069294</v>
      </c>
      <c r="H18" s="91">
        <f t="shared" si="4"/>
        <v>2.0833333333333286</v>
      </c>
      <c r="I18" s="91">
        <f t="shared" si="4"/>
        <v>2.3593382194049752</v>
      </c>
      <c r="J18" s="91">
        <f t="shared" si="4"/>
        <v>1.7066078962575375</v>
      </c>
    </row>
    <row r="19" spans="1:10" ht="22.5" customHeight="1" thickBot="1">
      <c r="A19" s="129"/>
      <c r="B19" s="129"/>
      <c r="C19" s="130"/>
      <c r="D19" s="129"/>
      <c r="E19" s="129"/>
      <c r="F19" s="129"/>
      <c r="G19" s="129"/>
      <c r="H19" s="129"/>
      <c r="I19" s="129"/>
      <c r="J19" s="129"/>
    </row>
    <row r="20" spans="1:10">
      <c r="A20" s="5"/>
      <c r="B20" s="5"/>
      <c r="C20" s="5"/>
      <c r="D20" s="5"/>
      <c r="E20" s="5"/>
      <c r="F20" s="5"/>
      <c r="G20" s="5"/>
      <c r="H20" s="5"/>
    </row>
    <row r="51" ht="15.75" customHeight="1"/>
  </sheetData>
  <sheetProtection algorithmName="SHA-512" hashValue="T2Y4XWfT9rMyLtBt0BlXDKel6C3KQFAPdwfLy/+LQFJEiASuDw9zcb/g/VRA4gFDrU13cBCn+3cMSWC7cczoSA==" saltValue="UWfs8v9hQm0FctEGylZcYQ==" spinCount="100000" sheet="1" objects="1" scenarios="1"/>
  <mergeCells count="24">
    <mergeCell ref="I4:I5"/>
    <mergeCell ref="A1:J1"/>
    <mergeCell ref="A2:J2"/>
    <mergeCell ref="J4:J5"/>
    <mergeCell ref="A18:B18"/>
    <mergeCell ref="A4:B4"/>
    <mergeCell ref="A5:B5"/>
    <mergeCell ref="A7:B7"/>
    <mergeCell ref="A11:B11"/>
    <mergeCell ref="A13:B13"/>
    <mergeCell ref="A15:B15"/>
    <mergeCell ref="A16:B16"/>
    <mergeCell ref="A17:B17"/>
    <mergeCell ref="A12:B12"/>
    <mergeCell ref="A14:B14"/>
    <mergeCell ref="A10:B10"/>
    <mergeCell ref="A9:B9"/>
    <mergeCell ref="H4:H5"/>
    <mergeCell ref="A8:B8"/>
    <mergeCell ref="G4:G5"/>
    <mergeCell ref="F4:F5"/>
    <mergeCell ref="E4:E5"/>
    <mergeCell ref="C4:C5"/>
    <mergeCell ref="D4:D5"/>
  </mergeCells>
  <pageMargins left="0.51181102362204722" right="0.51181102362204722" top="0.74803149606299213" bottom="0.74803149606299213" header="0.31496062992125984" footer="0.31496062992125984"/>
  <pageSetup paperSize="9" scale="95" orientation="portrait" r:id="rId1"/>
  <headerFooter>
    <oddFooter>&amp;C&amp;"Century Gothic,Regular"&amp;10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Q87"/>
  <sheetViews>
    <sheetView view="pageBreakPreview" zoomScaleNormal="100" zoomScaleSheetLayoutView="100" workbookViewId="0">
      <selection activeCell="C1" sqref="C1:M1"/>
    </sheetView>
  </sheetViews>
  <sheetFormatPr defaultRowHeight="13.5"/>
  <cols>
    <col min="1" max="1" width="4.140625" style="9" customWidth="1"/>
    <col min="2" max="2" width="3.85546875" style="9" customWidth="1"/>
    <col min="3" max="3" width="2.7109375" style="9" customWidth="1"/>
    <col min="4" max="4" width="46.5703125" style="9" customWidth="1"/>
    <col min="5" max="5" width="12.7109375" style="9" customWidth="1"/>
    <col min="6" max="8" width="11.140625" style="9" customWidth="1"/>
    <col min="9" max="9" width="1.7109375" style="9" customWidth="1"/>
    <col min="10" max="10" width="12.7109375" style="9" customWidth="1"/>
    <col min="11" max="13" width="11.140625" style="9" customWidth="1"/>
    <col min="14" max="14" width="10.140625" style="9" bestFit="1" customWidth="1"/>
    <col min="15" max="15" width="11.140625" style="9" bestFit="1" customWidth="1"/>
    <col min="16" max="16384" width="9.140625" style="9"/>
  </cols>
  <sheetData>
    <row r="1" spans="1:14" ht="15" customHeight="1">
      <c r="A1" s="314">
        <v>28</v>
      </c>
      <c r="B1" s="114"/>
      <c r="C1" s="336" t="s">
        <v>144</v>
      </c>
      <c r="D1" s="336"/>
      <c r="E1" s="336"/>
      <c r="F1" s="336"/>
      <c r="G1" s="336"/>
      <c r="H1" s="336"/>
      <c r="I1" s="336"/>
      <c r="J1" s="336"/>
      <c r="K1" s="336"/>
      <c r="L1" s="336"/>
      <c r="M1" s="336"/>
    </row>
    <row r="2" spans="1:14">
      <c r="A2" s="314"/>
      <c r="B2" s="114"/>
      <c r="C2" s="335" t="s">
        <v>165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1:14" ht="7.5" customHeight="1" thickBot="1">
      <c r="A3" s="314"/>
      <c r="B3" s="114"/>
      <c r="C3" s="135"/>
      <c r="D3" s="136"/>
      <c r="E3" s="136"/>
      <c r="F3" s="136"/>
      <c r="G3" s="136"/>
      <c r="H3" s="136"/>
      <c r="I3" s="136"/>
      <c r="J3" s="136"/>
      <c r="K3" s="136"/>
      <c r="L3" s="136"/>
      <c r="M3" s="136"/>
    </row>
    <row r="4" spans="1:14" ht="15" customHeight="1" thickBot="1">
      <c r="A4" s="314"/>
      <c r="B4" s="114"/>
      <c r="C4" s="330" t="s">
        <v>172</v>
      </c>
      <c r="D4" s="330"/>
      <c r="E4" s="330">
        <v>2017</v>
      </c>
      <c r="F4" s="330"/>
      <c r="G4" s="330"/>
      <c r="H4" s="330"/>
      <c r="I4" s="138"/>
      <c r="J4" s="330">
        <v>2018</v>
      </c>
      <c r="K4" s="330"/>
      <c r="L4" s="330"/>
      <c r="M4" s="330"/>
    </row>
    <row r="5" spans="1:14" ht="15" customHeight="1">
      <c r="A5" s="314"/>
      <c r="B5" s="114"/>
      <c r="C5" s="328"/>
      <c r="D5" s="328"/>
      <c r="E5" s="330" t="s">
        <v>173</v>
      </c>
      <c r="F5" s="337" t="s">
        <v>167</v>
      </c>
      <c r="G5" s="337"/>
      <c r="H5" s="337"/>
      <c r="I5" s="141"/>
      <c r="J5" s="330" t="s">
        <v>173</v>
      </c>
      <c r="K5" s="330" t="s">
        <v>167</v>
      </c>
      <c r="L5" s="330"/>
      <c r="M5" s="330"/>
    </row>
    <row r="6" spans="1:14" ht="45" customHeight="1">
      <c r="A6" s="314"/>
      <c r="B6" s="114"/>
      <c r="C6" s="328"/>
      <c r="D6" s="328"/>
      <c r="E6" s="328"/>
      <c r="F6" s="137" t="s">
        <v>168</v>
      </c>
      <c r="G6" s="137" t="s">
        <v>169</v>
      </c>
      <c r="H6" s="137" t="s">
        <v>170</v>
      </c>
      <c r="I6" s="137"/>
      <c r="J6" s="328"/>
      <c r="K6" s="140" t="s">
        <v>168</v>
      </c>
      <c r="L6" s="140" t="s">
        <v>171</v>
      </c>
      <c r="M6" s="140" t="s">
        <v>170</v>
      </c>
    </row>
    <row r="7" spans="1:14" ht="15" customHeight="1" thickBot="1">
      <c r="A7" s="314"/>
      <c r="B7" s="114"/>
      <c r="C7" s="328"/>
      <c r="D7" s="328"/>
      <c r="E7" s="137" t="s">
        <v>17</v>
      </c>
      <c r="F7" s="328" t="s">
        <v>26</v>
      </c>
      <c r="G7" s="328"/>
      <c r="H7" s="328"/>
      <c r="I7" s="137"/>
      <c r="J7" s="137" t="s">
        <v>17</v>
      </c>
      <c r="K7" s="329" t="s">
        <v>26</v>
      </c>
      <c r="L7" s="329"/>
      <c r="M7" s="329"/>
    </row>
    <row r="8" spans="1:14" s="102" customFormat="1" ht="7.5" customHeight="1">
      <c r="A8" s="314"/>
      <c r="B8" s="114"/>
      <c r="C8" s="139"/>
      <c r="D8" s="139"/>
      <c r="E8" s="139"/>
      <c r="F8" s="139"/>
      <c r="G8" s="139"/>
      <c r="H8" s="139"/>
      <c r="I8" s="139"/>
      <c r="J8" s="139"/>
      <c r="K8" s="76"/>
      <c r="L8" s="76"/>
      <c r="M8" s="76"/>
    </row>
    <row r="9" spans="1:14" ht="18.75" customHeight="1">
      <c r="A9" s="314"/>
      <c r="B9" s="114"/>
      <c r="C9" s="331" t="s">
        <v>113</v>
      </c>
      <c r="D9" s="331"/>
      <c r="E9" s="62">
        <f>SUM(E10:E11)</f>
        <v>100</v>
      </c>
      <c r="F9" s="116">
        <f>SUM(F10:F11)</f>
        <v>205408</v>
      </c>
      <c r="G9" s="116">
        <f>SUM(G10:G11)</f>
        <v>163966</v>
      </c>
      <c r="H9" s="116">
        <f>SUM(H10:H11)</f>
        <v>41442</v>
      </c>
      <c r="I9" s="51"/>
      <c r="J9" s="62">
        <f>SUM(J10:J11)</f>
        <v>100</v>
      </c>
      <c r="K9" s="116">
        <f>SUM(K10:K11)</f>
        <v>221272.48073399995</v>
      </c>
      <c r="L9" s="116">
        <f>SUM(L10:L11)</f>
        <v>179047.93956899998</v>
      </c>
      <c r="M9" s="116">
        <f>SUM(M10:M11)</f>
        <v>42224.541164999995</v>
      </c>
    </row>
    <row r="10" spans="1:14" ht="18.75" customHeight="1">
      <c r="A10" s="314"/>
      <c r="B10" s="114"/>
      <c r="C10" s="32"/>
      <c r="D10" s="31" t="s">
        <v>112</v>
      </c>
      <c r="E10" s="62">
        <f>F10/F$9*100</f>
        <v>65.666867892195043</v>
      </c>
      <c r="F10" s="116">
        <f>SUM(G10:H10)</f>
        <v>134885</v>
      </c>
      <c r="G10" s="117">
        <v>105357</v>
      </c>
      <c r="H10" s="117">
        <v>29528</v>
      </c>
      <c r="I10" s="52"/>
      <c r="J10" s="62">
        <f>K10/K$9*100</f>
        <v>64.641277172169382</v>
      </c>
      <c r="K10" s="116">
        <f>SUM(L10:M10)</f>
        <v>143033.35757699999</v>
      </c>
      <c r="L10" s="117">
        <v>113302.09151499999</v>
      </c>
      <c r="M10" s="117">
        <v>29731.266061999999</v>
      </c>
    </row>
    <row r="11" spans="1:14" ht="18.75" customHeight="1">
      <c r="A11" s="314"/>
      <c r="B11" s="114"/>
      <c r="C11" s="30"/>
      <c r="D11" s="31" t="s">
        <v>114</v>
      </c>
      <c r="E11" s="62">
        <f>F11/F$9*100</f>
        <v>34.333132107804957</v>
      </c>
      <c r="F11" s="116">
        <f>SUM(G11:H11)</f>
        <v>70523</v>
      </c>
      <c r="G11" s="119">
        <v>58609</v>
      </c>
      <c r="H11" s="119">
        <v>11914</v>
      </c>
      <c r="I11" s="53"/>
      <c r="J11" s="62">
        <f>K11/K$9*100</f>
        <v>35.358722827830626</v>
      </c>
      <c r="K11" s="116">
        <f>SUM(L11:M11)</f>
        <v>78239.123156999965</v>
      </c>
      <c r="L11" s="117">
        <v>65745.848053999973</v>
      </c>
      <c r="M11" s="117">
        <v>12493.275102999998</v>
      </c>
    </row>
    <row r="12" spans="1:14" ht="4.5" customHeight="1" thickBot="1">
      <c r="A12" s="314"/>
      <c r="B12" s="114"/>
      <c r="C12" s="144"/>
      <c r="D12" s="142"/>
      <c r="E12" s="143"/>
      <c r="F12" s="142"/>
      <c r="G12" s="143"/>
      <c r="H12" s="143"/>
      <c r="I12" s="143"/>
      <c r="J12" s="143"/>
      <c r="K12" s="142"/>
      <c r="L12" s="143"/>
      <c r="M12" s="143"/>
    </row>
    <row r="13" spans="1:14" ht="11.25" customHeight="1">
      <c r="A13" s="314"/>
      <c r="B13" s="114"/>
      <c r="D13" s="145"/>
      <c r="E13" s="145"/>
      <c r="F13" s="145"/>
      <c r="G13" s="145"/>
      <c r="H13" s="145"/>
      <c r="I13" s="145"/>
      <c r="J13" s="145"/>
      <c r="K13" s="146"/>
      <c r="L13" s="146"/>
      <c r="M13" s="146"/>
    </row>
    <row r="14" spans="1:14" ht="9" customHeight="1">
      <c r="A14" s="314"/>
      <c r="B14" s="114"/>
      <c r="M14" s="11"/>
    </row>
    <row r="15" spans="1:14" ht="15" customHeight="1">
      <c r="A15" s="314"/>
      <c r="B15" s="217"/>
      <c r="C15" s="332" t="s">
        <v>145</v>
      </c>
      <c r="D15" s="333"/>
      <c r="E15" s="333"/>
      <c r="F15" s="333"/>
      <c r="G15" s="333"/>
      <c r="H15" s="333"/>
      <c r="I15" s="333"/>
      <c r="J15" s="333"/>
      <c r="K15" s="333"/>
      <c r="L15" s="333"/>
      <c r="M15" s="334"/>
      <c r="N15" s="109"/>
    </row>
    <row r="16" spans="1:14" ht="15" customHeight="1">
      <c r="A16" s="314"/>
      <c r="B16" s="114"/>
      <c r="C16" s="335" t="s">
        <v>146</v>
      </c>
      <c r="D16" s="335"/>
      <c r="E16" s="335"/>
      <c r="F16" s="335"/>
      <c r="G16" s="335"/>
      <c r="H16" s="335"/>
      <c r="I16" s="335"/>
      <c r="J16" s="335"/>
      <c r="K16" s="335"/>
      <c r="L16" s="335"/>
      <c r="M16" s="335"/>
    </row>
    <row r="17" spans="1:17" ht="7.5" customHeight="1" thickBot="1">
      <c r="A17" s="314"/>
      <c r="B17" s="114"/>
      <c r="C17" s="125"/>
      <c r="D17" s="126"/>
      <c r="E17" s="126"/>
      <c r="F17" s="126"/>
      <c r="G17" s="126"/>
      <c r="H17" s="126"/>
      <c r="I17" s="126"/>
      <c r="J17" s="126"/>
      <c r="K17" s="126"/>
      <c r="L17" s="126"/>
      <c r="M17" s="126"/>
    </row>
    <row r="18" spans="1:17" ht="15" customHeight="1" thickBot="1">
      <c r="A18" s="314"/>
      <c r="B18" s="114"/>
      <c r="C18" s="325"/>
      <c r="D18" s="325"/>
      <c r="E18" s="327">
        <v>2017</v>
      </c>
      <c r="F18" s="327"/>
      <c r="G18" s="327"/>
      <c r="H18" s="327"/>
      <c r="I18" s="128"/>
      <c r="J18" s="327">
        <v>2018</v>
      </c>
      <c r="K18" s="327"/>
      <c r="L18" s="327"/>
      <c r="M18" s="327"/>
    </row>
    <row r="19" spans="1:17" ht="15" customHeight="1">
      <c r="A19" s="314"/>
      <c r="B19" s="114"/>
      <c r="C19" s="325"/>
      <c r="D19" s="325"/>
      <c r="E19" s="328" t="s">
        <v>166</v>
      </c>
      <c r="F19" s="311" t="s">
        <v>167</v>
      </c>
      <c r="G19" s="311"/>
      <c r="H19" s="311"/>
      <c r="I19" s="134"/>
      <c r="J19" s="328" t="s">
        <v>166</v>
      </c>
      <c r="K19" s="325" t="s">
        <v>167</v>
      </c>
      <c r="L19" s="325"/>
      <c r="M19" s="325"/>
    </row>
    <row r="20" spans="1:17" ht="57.75" customHeight="1" thickBot="1">
      <c r="A20" s="314"/>
      <c r="B20" s="114"/>
      <c r="C20" s="326"/>
      <c r="D20" s="326"/>
      <c r="E20" s="329"/>
      <c r="F20" s="133" t="s">
        <v>168</v>
      </c>
      <c r="G20" s="133" t="s">
        <v>169</v>
      </c>
      <c r="H20" s="133" t="s">
        <v>170</v>
      </c>
      <c r="I20" s="133"/>
      <c r="J20" s="329"/>
      <c r="K20" s="133" t="s">
        <v>168</v>
      </c>
      <c r="L20" s="133" t="s">
        <v>171</v>
      </c>
      <c r="M20" s="133" t="s">
        <v>170</v>
      </c>
    </row>
    <row r="21" spans="1:17" ht="15" customHeight="1" thickBot="1">
      <c r="A21" s="314"/>
      <c r="B21" s="114"/>
      <c r="C21" s="103"/>
      <c r="D21" s="104"/>
      <c r="E21" s="105" t="s">
        <v>17</v>
      </c>
      <c r="F21" s="315" t="s">
        <v>26</v>
      </c>
      <c r="G21" s="315"/>
      <c r="H21" s="315"/>
      <c r="I21" s="105"/>
      <c r="J21" s="213" t="s">
        <v>17</v>
      </c>
      <c r="K21" s="315" t="s">
        <v>26</v>
      </c>
      <c r="L21" s="315"/>
      <c r="M21" s="315"/>
    </row>
    <row r="22" spans="1:17" ht="4.5" customHeight="1">
      <c r="A22" s="314"/>
      <c r="B22" s="114"/>
      <c r="C22" s="103"/>
      <c r="D22" s="104"/>
      <c r="E22" s="134"/>
      <c r="F22" s="105"/>
      <c r="G22" s="105"/>
      <c r="H22" s="105"/>
      <c r="I22" s="134"/>
      <c r="J22" s="105"/>
      <c r="K22" s="105"/>
      <c r="L22" s="105"/>
      <c r="M22" s="105"/>
    </row>
    <row r="23" spans="1:17" ht="18.75" customHeight="1">
      <c r="A23" s="314"/>
      <c r="B23" s="114"/>
      <c r="C23" s="324" t="s">
        <v>115</v>
      </c>
      <c r="D23" s="324"/>
      <c r="E23" s="62">
        <f>SUM(E24:E25)</f>
        <v>99.999999999999986</v>
      </c>
      <c r="F23" s="116">
        <f>SUM(F24:F25)</f>
        <v>276147.26299999992</v>
      </c>
      <c r="G23" s="116">
        <f>SUM(G24:G25)</f>
        <v>219681.45807886467</v>
      </c>
      <c r="H23" s="116">
        <f>SUM(H24:H25)</f>
        <v>56465.804921135234</v>
      </c>
      <c r="I23" s="107"/>
      <c r="J23" s="62">
        <f>SUM(J24:J25)</f>
        <v>100</v>
      </c>
      <c r="K23" s="116">
        <f>SUM(K24:K25)</f>
        <v>302414.63652200002</v>
      </c>
      <c r="L23" s="116">
        <f>SUM(L24:L25)</f>
        <v>242613.66048200009</v>
      </c>
      <c r="M23" s="116">
        <f>SUM(M24:M25)</f>
        <v>59800.976039999921</v>
      </c>
      <c r="O23" s="116"/>
      <c r="P23" s="116"/>
      <c r="Q23" s="116"/>
    </row>
    <row r="24" spans="1:17" ht="18.75" customHeight="1">
      <c r="A24" s="314"/>
      <c r="B24" s="114"/>
      <c r="C24" s="32"/>
      <c r="D24" s="31" t="s">
        <v>116</v>
      </c>
      <c r="E24" s="62">
        <f>F24/F$23*100</f>
        <v>66.865677390400208</v>
      </c>
      <c r="F24" s="116">
        <f>SUM(G24:H24)</f>
        <v>184647.73799999995</v>
      </c>
      <c r="G24" s="70">
        <v>144206.77991302754</v>
      </c>
      <c r="H24" s="70">
        <v>40440.958086972409</v>
      </c>
      <c r="I24" s="108"/>
      <c r="J24" s="62">
        <f>K24/K$23*100</f>
        <v>66.421254728650425</v>
      </c>
      <c r="K24" s="116">
        <f>SUM(L24:M24)</f>
        <v>200867.59606099993</v>
      </c>
      <c r="L24" s="70">
        <v>157741.46876199997</v>
      </c>
      <c r="M24" s="70">
        <v>43126.127298999949</v>
      </c>
      <c r="O24" s="116"/>
      <c r="P24" s="70"/>
      <c r="Q24" s="70"/>
    </row>
    <row r="25" spans="1:17" ht="18.75" customHeight="1">
      <c r="A25" s="314"/>
      <c r="B25" s="114"/>
      <c r="C25" s="30"/>
      <c r="D25" s="31" t="s">
        <v>117</v>
      </c>
      <c r="E25" s="62">
        <f>F25/F$23*100</f>
        <v>33.134322609599778</v>
      </c>
      <c r="F25" s="116">
        <f>SUM(G25:H25)</f>
        <v>91499.524999999951</v>
      </c>
      <c r="G25" s="70">
        <v>75474.678165837133</v>
      </c>
      <c r="H25" s="70">
        <v>16024.846834162821</v>
      </c>
      <c r="I25" s="108"/>
      <c r="J25" s="62">
        <f>K25/K$23*100</f>
        <v>33.578745271349582</v>
      </c>
      <c r="K25" s="116">
        <f>SUM(L25:M25)</f>
        <v>101547.0404610001</v>
      </c>
      <c r="L25" s="70">
        <v>84872.191720000119</v>
      </c>
      <c r="M25" s="70">
        <v>16674.848740999976</v>
      </c>
      <c r="O25" s="116"/>
      <c r="P25" s="71"/>
      <c r="Q25" s="71"/>
    </row>
    <row r="26" spans="1:17" ht="15" customHeight="1" thickBot="1">
      <c r="A26" s="314"/>
      <c r="B26" s="114"/>
      <c r="C26" s="30"/>
      <c r="D26" s="30"/>
      <c r="E26" s="212" t="s">
        <v>17</v>
      </c>
      <c r="F26" s="316" t="s">
        <v>108</v>
      </c>
      <c r="G26" s="316"/>
      <c r="H26" s="316"/>
      <c r="I26" s="218"/>
      <c r="J26" s="212" t="s">
        <v>17</v>
      </c>
      <c r="K26" s="317" t="s">
        <v>108</v>
      </c>
      <c r="L26" s="317"/>
      <c r="M26" s="317"/>
    </row>
    <row r="27" spans="1:17" ht="4.5" customHeight="1">
      <c r="A27" s="314"/>
      <c r="B27" s="114"/>
      <c r="C27" s="103"/>
      <c r="D27" s="104"/>
      <c r="E27" s="105"/>
      <c r="F27" s="105"/>
      <c r="G27" s="105"/>
      <c r="H27" s="105"/>
      <c r="I27" s="105"/>
      <c r="J27" s="105"/>
      <c r="K27" s="134"/>
      <c r="L27" s="134"/>
      <c r="M27" s="134"/>
    </row>
    <row r="28" spans="1:17" ht="18.75" customHeight="1">
      <c r="A28" s="314"/>
      <c r="B28" s="114"/>
      <c r="C28" s="324" t="s">
        <v>115</v>
      </c>
      <c r="D28" s="324"/>
      <c r="E28" s="62">
        <f>SUM(E29:E30)</f>
        <v>100</v>
      </c>
      <c r="F28" s="116">
        <f>SUM(F29:F30)</f>
        <v>83102.609783309686</v>
      </c>
      <c r="G28" s="116">
        <f>SUM(G29:G30)</f>
        <v>70025.813782377329</v>
      </c>
      <c r="H28" s="116">
        <f>SUM(H29:H30)</f>
        <v>13076.796000932354</v>
      </c>
      <c r="I28" s="106"/>
      <c r="J28" s="62">
        <f>SUM(J29:J30)</f>
        <v>100</v>
      </c>
      <c r="K28" s="116">
        <f>SUM(K29:K30)</f>
        <v>92560.731153929795</v>
      </c>
      <c r="L28" s="116">
        <f>SUM(L29:L30)</f>
        <v>78683.751160433996</v>
      </c>
      <c r="M28" s="116">
        <f>SUM(M29:M30)</f>
        <v>13876.979993495792</v>
      </c>
    </row>
    <row r="29" spans="1:17" ht="18.75" customHeight="1">
      <c r="A29" s="314"/>
      <c r="B29" s="114"/>
      <c r="C29" s="32"/>
      <c r="D29" s="31" t="s">
        <v>118</v>
      </c>
      <c r="E29" s="62">
        <f>F29/F$28*100</f>
        <v>34.909990298588475</v>
      </c>
      <c r="F29" s="116">
        <f>SUM(G29:H29)</f>
        <v>29011.113013227252</v>
      </c>
      <c r="G29" s="70">
        <v>23839.935909696582</v>
      </c>
      <c r="H29" s="70">
        <v>5171.1771035306701</v>
      </c>
      <c r="I29" s="70"/>
      <c r="J29" s="62">
        <f>K29/K$28*100</f>
        <v>34.732581250320941</v>
      </c>
      <c r="K29" s="116">
        <f>SUM(L29:M29)</f>
        <v>32148.731153929792</v>
      </c>
      <c r="L29" s="70">
        <v>26394.751160434</v>
      </c>
      <c r="M29" s="70">
        <v>5753.9799934957919</v>
      </c>
    </row>
    <row r="30" spans="1:17" ht="18.75" customHeight="1">
      <c r="A30" s="314"/>
      <c r="B30" s="114"/>
      <c r="C30" s="30"/>
      <c r="D30" s="31" t="s">
        <v>119</v>
      </c>
      <c r="E30" s="62">
        <f>F30/F$28*100</f>
        <v>65.090009701411518</v>
      </c>
      <c r="F30" s="116">
        <f>SUM(G30:H30)</f>
        <v>54091.496770082427</v>
      </c>
      <c r="G30" s="70">
        <v>46185.877872680743</v>
      </c>
      <c r="H30" s="70">
        <v>7905.6188974016841</v>
      </c>
      <c r="I30" s="70"/>
      <c r="J30" s="62">
        <f>K30/K$28*100</f>
        <v>65.267418749679067</v>
      </c>
      <c r="K30" s="116">
        <f>SUM(L30:M30)</f>
        <v>60412</v>
      </c>
      <c r="L30" s="71">
        <v>52289</v>
      </c>
      <c r="M30" s="71">
        <v>8123</v>
      </c>
    </row>
    <row r="31" spans="1:17" ht="15" customHeight="1" thickBot="1">
      <c r="A31" s="314"/>
      <c r="B31" s="114"/>
      <c r="C31" s="30"/>
      <c r="D31" s="30"/>
      <c r="E31" s="214"/>
      <c r="F31" s="318" t="s">
        <v>30</v>
      </c>
      <c r="G31" s="318"/>
      <c r="H31" s="318"/>
      <c r="I31" s="8"/>
      <c r="J31" s="214"/>
      <c r="K31" s="319" t="s">
        <v>30</v>
      </c>
      <c r="L31" s="319"/>
      <c r="M31" s="319"/>
    </row>
    <row r="32" spans="1:17" ht="4.5" customHeight="1">
      <c r="A32" s="314"/>
      <c r="B32" s="114"/>
      <c r="C32" s="30"/>
      <c r="D32" s="30"/>
      <c r="E32" s="215"/>
      <c r="F32" s="158"/>
      <c r="G32" s="158"/>
      <c r="H32" s="158"/>
      <c r="I32" s="158"/>
      <c r="J32" s="215"/>
      <c r="K32" s="8"/>
      <c r="L32" s="8"/>
      <c r="M32" s="8"/>
    </row>
    <row r="33" spans="1:16" ht="18.75" customHeight="1">
      <c r="A33" s="314"/>
      <c r="B33" s="114"/>
      <c r="C33" s="324" t="s">
        <v>113</v>
      </c>
      <c r="D33" s="324"/>
      <c r="E33" s="72"/>
      <c r="F33" s="116">
        <f>F28*1000/F23</f>
        <v>300.93584444945128</v>
      </c>
      <c r="G33" s="116">
        <f>G28*1000/G23</f>
        <v>318.76069284481156</v>
      </c>
      <c r="H33" s="116">
        <f>H28*1000/H23</f>
        <v>231.58787905700589</v>
      </c>
      <c r="I33" s="121"/>
      <c r="J33" s="123"/>
      <c r="K33" s="116">
        <f>K28*1000/K23</f>
        <v>306.07225965796204</v>
      </c>
      <c r="L33" s="116">
        <f>L28*1000/L23</f>
        <v>324.31706856123901</v>
      </c>
      <c r="M33" s="116">
        <f>M28*1000/M23</f>
        <v>232.05273412617382</v>
      </c>
    </row>
    <row r="34" spans="1:16" ht="30" customHeight="1">
      <c r="A34" s="314"/>
      <c r="B34" s="114"/>
      <c r="C34" s="111"/>
      <c r="D34" s="31" t="s">
        <v>120</v>
      </c>
      <c r="E34" s="112"/>
      <c r="F34" s="116">
        <f t="shared" ref="F34:H35" si="0">F29*1000/F24</f>
        <v>157.11599463637759</v>
      </c>
      <c r="G34" s="70">
        <f t="shared" si="0"/>
        <v>165.31771893162494</v>
      </c>
      <c r="H34" s="70">
        <f t="shared" si="0"/>
        <v>127.86979706092833</v>
      </c>
      <c r="I34" s="110"/>
      <c r="J34" s="112"/>
      <c r="K34" s="116">
        <f t="shared" ref="K34:M35" si="1">K29*1000/K24</f>
        <v>160.04936477741683</v>
      </c>
      <c r="L34" s="70">
        <f t="shared" si="1"/>
        <v>167.32918342644794</v>
      </c>
      <c r="M34" s="70">
        <f t="shared" si="1"/>
        <v>133.42213534738653</v>
      </c>
    </row>
    <row r="35" spans="1:16" ht="30" customHeight="1">
      <c r="A35" s="314"/>
      <c r="B35" s="114"/>
      <c r="C35" s="320"/>
      <c r="D35" s="252" t="s">
        <v>121</v>
      </c>
      <c r="E35" s="322"/>
      <c r="F35" s="118">
        <f t="shared" si="0"/>
        <v>591.16696802614501</v>
      </c>
      <c r="G35" s="71">
        <f t="shared" si="0"/>
        <v>611.93871898597013</v>
      </c>
      <c r="H35" s="71">
        <f t="shared" si="0"/>
        <v>493.3350676742798</v>
      </c>
      <c r="I35" s="251"/>
      <c r="J35" s="322"/>
      <c r="K35" s="118">
        <f t="shared" si="1"/>
        <v>594.91640254352546</v>
      </c>
      <c r="L35" s="71">
        <f t="shared" si="1"/>
        <v>616.09107695139335</v>
      </c>
      <c r="M35" s="71">
        <f t="shared" si="1"/>
        <v>487.14085064095582</v>
      </c>
    </row>
    <row r="36" spans="1:16" ht="6.75" customHeight="1" thickBot="1">
      <c r="A36" s="314"/>
      <c r="B36" s="114"/>
      <c r="C36" s="321"/>
      <c r="D36" s="255" t="s">
        <v>0</v>
      </c>
      <c r="E36" s="323"/>
      <c r="F36" s="256"/>
      <c r="G36" s="257"/>
      <c r="H36" s="257"/>
      <c r="I36" s="257"/>
      <c r="J36" s="323"/>
      <c r="K36" s="258"/>
      <c r="L36" s="258"/>
      <c r="M36" s="258"/>
    </row>
    <row r="37" spans="1:16" ht="15" customHeight="1">
      <c r="A37" s="145"/>
      <c r="B37" s="145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</row>
    <row r="38" spans="1:16"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48" spans="1:16">
      <c r="N48" s="10"/>
      <c r="O48" s="10"/>
      <c r="P48" s="10"/>
    </row>
    <row r="49" spans="14:16">
      <c r="N49" s="10"/>
      <c r="O49" s="10"/>
      <c r="P49" s="10"/>
    </row>
    <row r="50" spans="14:16">
      <c r="N50" s="10"/>
      <c r="O50" s="10"/>
      <c r="P50" s="10"/>
    </row>
    <row r="51" spans="14:16">
      <c r="N51" s="10"/>
      <c r="O51" s="10"/>
      <c r="P51" s="10"/>
    </row>
    <row r="52" spans="14:16">
      <c r="N52" s="10"/>
      <c r="O52" s="10"/>
      <c r="P52" s="10"/>
    </row>
    <row r="53" spans="14:16">
      <c r="N53" s="10"/>
      <c r="O53" s="10"/>
      <c r="P53" s="10"/>
    </row>
    <row r="54" spans="14:16">
      <c r="N54" s="10"/>
      <c r="O54" s="10"/>
      <c r="P54" s="10"/>
    </row>
    <row r="55" spans="14:16">
      <c r="N55" s="10"/>
      <c r="O55" s="10"/>
      <c r="P55" s="10"/>
    </row>
    <row r="56" spans="14:16">
      <c r="N56" s="10"/>
      <c r="O56" s="10"/>
      <c r="P56" s="10"/>
    </row>
    <row r="57" spans="14:16">
      <c r="N57" s="10"/>
      <c r="O57" s="10"/>
      <c r="P57" s="10"/>
    </row>
    <row r="58" spans="14:16">
      <c r="N58" s="10"/>
      <c r="O58" s="10"/>
      <c r="P58" s="10"/>
    </row>
    <row r="59" spans="14:16">
      <c r="N59" s="10"/>
      <c r="O59" s="10"/>
      <c r="P59" s="10"/>
    </row>
    <row r="60" spans="14:16">
      <c r="N60" s="10"/>
      <c r="O60" s="10"/>
      <c r="P60" s="10"/>
    </row>
    <row r="61" spans="14:16">
      <c r="N61" s="10"/>
      <c r="O61" s="10"/>
      <c r="P61" s="10"/>
    </row>
    <row r="62" spans="14:16">
      <c r="N62" s="10"/>
      <c r="O62" s="10"/>
      <c r="P62" s="10"/>
    </row>
    <row r="63" spans="14:16">
      <c r="N63" s="10"/>
      <c r="O63" s="10"/>
      <c r="P63" s="10"/>
    </row>
    <row r="64" spans="14:16">
      <c r="N64" s="10"/>
      <c r="O64" s="10"/>
      <c r="P64" s="10"/>
    </row>
    <row r="65" spans="14:16">
      <c r="N65" s="10"/>
      <c r="O65" s="10"/>
      <c r="P65" s="10"/>
    </row>
    <row r="66" spans="14:16">
      <c r="N66" s="10"/>
      <c r="O66" s="10"/>
      <c r="P66" s="10"/>
    </row>
    <row r="67" spans="14:16">
      <c r="N67" s="10"/>
      <c r="O67" s="10"/>
      <c r="P67" s="10"/>
    </row>
    <row r="68" spans="14:16">
      <c r="N68" s="10"/>
      <c r="O68" s="10"/>
      <c r="P68" s="10"/>
    </row>
    <row r="69" spans="14:16">
      <c r="N69" s="10"/>
      <c r="O69" s="10"/>
      <c r="P69" s="10"/>
    </row>
    <row r="70" spans="14:16">
      <c r="N70" s="10"/>
      <c r="O70" s="10"/>
      <c r="P70" s="10"/>
    </row>
    <row r="71" spans="14:16">
      <c r="N71" s="10"/>
      <c r="O71" s="10"/>
      <c r="P71" s="10"/>
    </row>
    <row r="72" spans="14:16">
      <c r="N72" s="10"/>
      <c r="O72" s="10"/>
      <c r="P72" s="10"/>
    </row>
    <row r="73" spans="14:16">
      <c r="N73" s="10"/>
      <c r="O73" s="10"/>
      <c r="P73" s="10"/>
    </row>
    <row r="74" spans="14:16">
      <c r="N74" s="10"/>
      <c r="O74" s="10"/>
      <c r="P74" s="10"/>
    </row>
    <row r="75" spans="14:16">
      <c r="N75" s="10"/>
      <c r="O75" s="10"/>
      <c r="P75" s="10"/>
    </row>
    <row r="76" spans="14:16">
      <c r="N76" s="10"/>
      <c r="O76" s="10"/>
      <c r="P76" s="10"/>
    </row>
    <row r="77" spans="14:16">
      <c r="N77" s="10"/>
      <c r="O77" s="10"/>
      <c r="P77" s="10"/>
    </row>
    <row r="78" spans="14:16">
      <c r="N78" s="10"/>
      <c r="O78" s="10"/>
      <c r="P78" s="10"/>
    </row>
    <row r="79" spans="14:16">
      <c r="N79" s="10"/>
      <c r="O79" s="10"/>
      <c r="P79" s="10"/>
    </row>
    <row r="80" spans="14:16">
      <c r="N80" s="10"/>
      <c r="O80" s="10"/>
      <c r="P80" s="10"/>
    </row>
    <row r="81" spans="14:16">
      <c r="N81" s="10"/>
      <c r="O81" s="10"/>
      <c r="P81" s="10"/>
    </row>
    <row r="82" spans="14:16">
      <c r="N82" s="10"/>
      <c r="O82" s="10"/>
      <c r="P82" s="10"/>
    </row>
    <row r="83" spans="14:16">
      <c r="N83" s="10"/>
      <c r="O83" s="10"/>
      <c r="P83" s="10"/>
    </row>
    <row r="84" spans="14:16">
      <c r="N84" s="10"/>
      <c r="O84" s="10"/>
      <c r="P84" s="10"/>
    </row>
    <row r="85" spans="14:16">
      <c r="N85" s="10"/>
      <c r="O85" s="10"/>
      <c r="P85" s="10"/>
    </row>
    <row r="86" spans="14:16">
      <c r="N86" s="10"/>
      <c r="O86" s="10"/>
      <c r="P86" s="10"/>
    </row>
    <row r="87" spans="14:16">
      <c r="N87" s="10"/>
      <c r="O87" s="10"/>
      <c r="P87" s="10"/>
    </row>
  </sheetData>
  <sheetProtection algorithmName="SHA-512" hashValue="CHXnHtaLTKSxun6DuWVOTHV6/GKGBfp9wOoKEjT0hkseHjHZl8YHE5alXRLpBuGvTTAFuf3G5hgVciIO7xyJhQ==" saltValue="h/xVgwNJS8PZhIwyQAhU5w==" spinCount="100000" sheet="1" objects="1" scenarios="1"/>
  <mergeCells count="34">
    <mergeCell ref="C9:D9"/>
    <mergeCell ref="C15:M15"/>
    <mergeCell ref="C16:M16"/>
    <mergeCell ref="C4:D7"/>
    <mergeCell ref="C1:M1"/>
    <mergeCell ref="C2:M2"/>
    <mergeCell ref="E4:H4"/>
    <mergeCell ref="J4:M4"/>
    <mergeCell ref="E5:E6"/>
    <mergeCell ref="F5:H5"/>
    <mergeCell ref="J5:J6"/>
    <mergeCell ref="E19:E20"/>
    <mergeCell ref="F19:H19"/>
    <mergeCell ref="K5:M5"/>
    <mergeCell ref="J19:J20"/>
    <mergeCell ref="K19:M19"/>
    <mergeCell ref="F7:H7"/>
    <mergeCell ref="K7:M7"/>
    <mergeCell ref="A1:A36"/>
    <mergeCell ref="F21:H21"/>
    <mergeCell ref="K21:M21"/>
    <mergeCell ref="F26:H26"/>
    <mergeCell ref="K26:M26"/>
    <mergeCell ref="F31:H31"/>
    <mergeCell ref="K31:M31"/>
    <mergeCell ref="C35:C36"/>
    <mergeCell ref="E35:E36"/>
    <mergeCell ref="J35:J36"/>
    <mergeCell ref="C23:D23"/>
    <mergeCell ref="C28:D28"/>
    <mergeCell ref="C33:D33"/>
    <mergeCell ref="C18:D20"/>
    <mergeCell ref="E18:H18"/>
    <mergeCell ref="J18:M18"/>
  </mergeCells>
  <pageMargins left="0.39370078740157483" right="0.59055118110236227" top="0.51181102362204722" bottom="0.51181102362204722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view="pageBreakPreview" zoomScaleNormal="100" zoomScaleSheetLayoutView="100" workbookViewId="0">
      <selection sqref="A1:I1"/>
    </sheetView>
  </sheetViews>
  <sheetFormatPr defaultRowHeight="16.5"/>
  <cols>
    <col min="1" max="1" width="2.7109375" style="34" customWidth="1"/>
    <col min="2" max="2" width="22.7109375" style="34" customWidth="1"/>
    <col min="3" max="5" width="11.7109375" style="34" customWidth="1"/>
    <col min="6" max="6" width="1.7109375" style="34" customWidth="1"/>
    <col min="7" max="9" width="11.7109375" style="34" customWidth="1"/>
    <col min="10" max="10" width="9.140625" style="34"/>
    <col min="11" max="11" width="15.140625" style="34" customWidth="1"/>
    <col min="12" max="12" width="15.85546875" style="34" customWidth="1"/>
    <col min="13" max="13" width="13" style="34" customWidth="1"/>
    <col min="14" max="14" width="16.28515625" style="34" customWidth="1"/>
    <col min="15" max="16384" width="9.140625" style="34"/>
  </cols>
  <sheetData>
    <row r="1" spans="1:13">
      <c r="A1" s="339" t="s">
        <v>149</v>
      </c>
      <c r="B1" s="339"/>
      <c r="C1" s="339"/>
      <c r="D1" s="339"/>
      <c r="E1" s="339"/>
      <c r="F1" s="339"/>
      <c r="G1" s="339"/>
      <c r="H1" s="339"/>
      <c r="I1" s="339"/>
      <c r="J1" s="182"/>
    </row>
    <row r="2" spans="1:13">
      <c r="A2" s="343" t="s">
        <v>150</v>
      </c>
      <c r="B2" s="343"/>
      <c r="C2" s="343"/>
      <c r="D2" s="343"/>
      <c r="E2" s="343"/>
      <c r="F2" s="343"/>
      <c r="G2" s="343"/>
      <c r="H2" s="343"/>
      <c r="I2" s="343"/>
    </row>
    <row r="3" spans="1:13" ht="20.25" customHeight="1" thickBot="1">
      <c r="A3" s="3"/>
      <c r="B3" s="4"/>
      <c r="C3" s="4"/>
      <c r="D3" s="4"/>
      <c r="E3" s="4"/>
      <c r="F3" s="4"/>
      <c r="G3" s="4"/>
      <c r="H3" s="4"/>
      <c r="I3" s="4"/>
    </row>
    <row r="4" spans="1:13" ht="20.25" customHeight="1" thickBot="1">
      <c r="A4" s="330" t="s">
        <v>174</v>
      </c>
      <c r="B4" s="330"/>
      <c r="C4" s="330">
        <v>2017</v>
      </c>
      <c r="D4" s="330"/>
      <c r="E4" s="330"/>
      <c r="F4" s="150"/>
      <c r="G4" s="327">
        <v>2018</v>
      </c>
      <c r="H4" s="327"/>
      <c r="I4" s="327"/>
    </row>
    <row r="5" spans="1:13" ht="20.25" customHeight="1">
      <c r="A5" s="328"/>
      <c r="B5" s="328"/>
      <c r="C5" s="337" t="s">
        <v>167</v>
      </c>
      <c r="D5" s="337"/>
      <c r="E5" s="337"/>
      <c r="F5" s="150"/>
      <c r="G5" s="337" t="s">
        <v>167</v>
      </c>
      <c r="H5" s="337"/>
      <c r="I5" s="337"/>
    </row>
    <row r="6" spans="1:13" ht="36" customHeight="1">
      <c r="A6" s="328"/>
      <c r="B6" s="328"/>
      <c r="C6" s="137" t="s">
        <v>175</v>
      </c>
      <c r="D6" s="137" t="s">
        <v>176</v>
      </c>
      <c r="E6" s="137" t="s">
        <v>177</v>
      </c>
      <c r="F6" s="147"/>
      <c r="G6" s="140" t="s">
        <v>175</v>
      </c>
      <c r="H6" s="137" t="s">
        <v>176</v>
      </c>
      <c r="I6" s="137" t="s">
        <v>177</v>
      </c>
    </row>
    <row r="7" spans="1:13" ht="20.25" customHeight="1" thickBot="1">
      <c r="A7" s="328"/>
      <c r="B7" s="328"/>
      <c r="C7" s="133"/>
      <c r="D7" s="133" t="s">
        <v>26</v>
      </c>
      <c r="E7" s="133"/>
      <c r="F7" s="137"/>
      <c r="G7" s="344" t="s">
        <v>26</v>
      </c>
      <c r="H7" s="344"/>
      <c r="I7" s="344"/>
    </row>
    <row r="8" spans="1:13" ht="15" customHeight="1">
      <c r="A8" s="151"/>
      <c r="B8" s="148"/>
      <c r="C8" s="148"/>
      <c r="D8" s="149"/>
      <c r="E8" s="148"/>
      <c r="F8" s="148"/>
      <c r="G8" s="148"/>
      <c r="H8" s="148"/>
      <c r="I8" s="148"/>
    </row>
    <row r="9" spans="1:13" ht="27" customHeight="1">
      <c r="A9" s="338" t="s">
        <v>101</v>
      </c>
      <c r="B9" s="338"/>
      <c r="C9" s="231">
        <f>C11+C15</f>
        <v>276147.26299999992</v>
      </c>
      <c r="D9" s="116">
        <f t="shared" ref="D9:E9" si="0">D11+D15</f>
        <v>219681.45807886467</v>
      </c>
      <c r="E9" s="116">
        <f t="shared" si="0"/>
        <v>56465.804921135226</v>
      </c>
      <c r="F9" s="73"/>
      <c r="G9" s="231">
        <f>G11+G15</f>
        <v>302414.63652200002</v>
      </c>
      <c r="H9" s="231">
        <f t="shared" ref="H9:I9" si="1">H11+H15</f>
        <v>242613.66048200009</v>
      </c>
      <c r="I9" s="231">
        <f t="shared" si="1"/>
        <v>59800.976039999929</v>
      </c>
    </row>
    <row r="10" spans="1:13" ht="15" customHeight="1">
      <c r="A10" s="35"/>
      <c r="B10" s="35"/>
      <c r="C10" s="254"/>
      <c r="D10" s="241"/>
      <c r="E10" s="241"/>
      <c r="F10" s="74"/>
      <c r="G10" s="254"/>
      <c r="H10" s="254"/>
      <c r="I10" s="254"/>
    </row>
    <row r="11" spans="1:13" ht="27" customHeight="1">
      <c r="A11" s="338" t="s">
        <v>107</v>
      </c>
      <c r="B11" s="338"/>
      <c r="C11" s="231">
        <f>C12+C13</f>
        <v>55271.057695441799</v>
      </c>
      <c r="D11" s="116">
        <f>D12+D13</f>
        <v>43841.201571347876</v>
      </c>
      <c r="E11" s="116">
        <f>E12+E13</f>
        <v>11429.856124093923</v>
      </c>
      <c r="F11" s="73"/>
      <c r="G11" s="231">
        <f>G12+G13</f>
        <v>73628.408448886345</v>
      </c>
      <c r="H11" s="231">
        <f>H12+H13</f>
        <v>58214.307635957884</v>
      </c>
      <c r="I11" s="231">
        <f>I12+I13</f>
        <v>15414.100812928453</v>
      </c>
      <c r="K11" s="42"/>
      <c r="L11" s="42"/>
      <c r="M11" s="42"/>
    </row>
    <row r="12" spans="1:13" ht="37.5" customHeight="1">
      <c r="A12" s="35"/>
      <c r="B12" s="36" t="s">
        <v>102</v>
      </c>
      <c r="C12" s="231">
        <f>D12+E12</f>
        <v>39529.328840179427</v>
      </c>
      <c r="D12" s="117">
        <v>31170.493313286828</v>
      </c>
      <c r="E12" s="117">
        <v>8358.8355268926025</v>
      </c>
      <c r="F12" s="74"/>
      <c r="G12" s="231">
        <f>H12+I12</f>
        <v>46463.863937797221</v>
      </c>
      <c r="H12" s="232">
        <v>35534.776493921207</v>
      </c>
      <c r="I12" s="232">
        <v>10929.087443876015</v>
      </c>
      <c r="K12" s="42"/>
      <c r="L12" s="42"/>
      <c r="M12" s="42"/>
    </row>
    <row r="13" spans="1:13" ht="37.5" customHeight="1">
      <c r="A13" s="37"/>
      <c r="B13" s="36" t="s">
        <v>100</v>
      </c>
      <c r="C13" s="231">
        <f>D13+E13</f>
        <v>15741.728855262372</v>
      </c>
      <c r="D13" s="117">
        <v>12670.708258061051</v>
      </c>
      <c r="E13" s="117">
        <v>3071.02059720132</v>
      </c>
      <c r="F13" s="74"/>
      <c r="G13" s="231">
        <f>H13+I13</f>
        <v>27164.54451108912</v>
      </c>
      <c r="H13" s="232">
        <v>22679.531142036682</v>
      </c>
      <c r="I13" s="232">
        <v>4485.0133690524372</v>
      </c>
      <c r="K13" s="42"/>
      <c r="L13" s="42"/>
      <c r="M13" s="42"/>
    </row>
    <row r="14" spans="1:13" ht="15" customHeight="1">
      <c r="A14" s="37"/>
      <c r="B14" s="37"/>
      <c r="C14" s="254"/>
      <c r="D14" s="241"/>
      <c r="E14" s="241"/>
      <c r="F14" s="74"/>
      <c r="G14" s="254"/>
      <c r="H14" s="254"/>
      <c r="I14" s="254"/>
    </row>
    <row r="15" spans="1:13" ht="27" customHeight="1">
      <c r="A15" s="338" t="s">
        <v>93</v>
      </c>
      <c r="B15" s="338"/>
      <c r="C15" s="231">
        <f>C16+C17</f>
        <v>220876.2053045581</v>
      </c>
      <c r="D15" s="116">
        <f>D16+D17</f>
        <v>175840.25650751678</v>
      </c>
      <c r="E15" s="116">
        <f>E16+E17</f>
        <v>45035.948797041303</v>
      </c>
      <c r="F15" s="73"/>
      <c r="G15" s="231">
        <f>G16+G17</f>
        <v>228786.22807311366</v>
      </c>
      <c r="H15" s="231">
        <f>H16+H17</f>
        <v>184399.35284604219</v>
      </c>
      <c r="I15" s="231">
        <f>I16+I17</f>
        <v>44386.875227071476</v>
      </c>
    </row>
    <row r="16" spans="1:13" ht="37.5" customHeight="1">
      <c r="A16" s="35"/>
      <c r="B16" s="36" t="s">
        <v>103</v>
      </c>
      <c r="C16" s="231">
        <f>D16+E16</f>
        <v>145118.40915982053</v>
      </c>
      <c r="D16" s="117">
        <v>113036.28659974072</v>
      </c>
      <c r="E16" s="117">
        <v>32082.122560079806</v>
      </c>
      <c r="F16" s="74"/>
      <c r="G16" s="231">
        <f>H16+I16</f>
        <v>154403.7321232027</v>
      </c>
      <c r="H16" s="232">
        <v>122206.69226807875</v>
      </c>
      <c r="I16" s="232">
        <v>32197.039855123934</v>
      </c>
    </row>
    <row r="17" spans="1:12" ht="37.5" customHeight="1">
      <c r="A17" s="37"/>
      <c r="B17" s="36" t="s">
        <v>104</v>
      </c>
      <c r="C17" s="231">
        <f>D17+E17</f>
        <v>75757.796144737571</v>
      </c>
      <c r="D17" s="119">
        <v>62803.969907776074</v>
      </c>
      <c r="E17" s="119">
        <v>12953.8262369615</v>
      </c>
      <c r="F17" s="75"/>
      <c r="G17" s="231">
        <f>H17+I17</f>
        <v>74382.495949910968</v>
      </c>
      <c r="H17" s="232">
        <v>62192.660577963434</v>
      </c>
      <c r="I17" s="232">
        <v>12189.83537194754</v>
      </c>
    </row>
    <row r="18" spans="1:12" ht="15" customHeight="1" thickBot="1">
      <c r="A18" s="152"/>
      <c r="B18" s="56"/>
      <c r="C18" s="154"/>
      <c r="D18" s="155"/>
      <c r="E18" s="154"/>
      <c r="F18" s="154"/>
      <c r="G18" s="154"/>
      <c r="H18" s="154"/>
      <c r="I18" s="154"/>
    </row>
    <row r="19" spans="1:12" ht="15" customHeight="1">
      <c r="A19" s="153"/>
      <c r="B19" s="153"/>
      <c r="C19" s="153"/>
      <c r="D19" s="156"/>
      <c r="E19" s="153"/>
      <c r="F19" s="153"/>
      <c r="G19" s="153"/>
      <c r="H19" s="153"/>
      <c r="I19" s="153"/>
    </row>
    <row r="20" spans="1:12" ht="15" customHeight="1">
      <c r="D20" s="39"/>
    </row>
    <row r="21" spans="1:12" ht="16.5" customHeight="1">
      <c r="A21" s="339" t="s">
        <v>151</v>
      </c>
      <c r="B21" s="339"/>
      <c r="C21" s="339"/>
      <c r="D21" s="339"/>
      <c r="E21" s="339"/>
      <c r="F21" s="339"/>
      <c r="G21" s="339"/>
      <c r="H21" s="339"/>
      <c r="I21" s="339"/>
    </row>
    <row r="22" spans="1:12" ht="16.5" customHeight="1">
      <c r="A22" s="340" t="s">
        <v>152</v>
      </c>
      <c r="B22" s="340"/>
      <c r="C22" s="340"/>
      <c r="D22" s="340"/>
      <c r="E22" s="340"/>
      <c r="F22" s="340"/>
      <c r="G22" s="340"/>
      <c r="H22" s="340"/>
      <c r="I22" s="340"/>
    </row>
    <row r="23" spans="1:12" ht="20.25" customHeight="1" thickBot="1">
      <c r="A23" s="3"/>
      <c r="B23" s="4"/>
      <c r="C23" s="4"/>
      <c r="D23" s="4"/>
      <c r="E23" s="4"/>
      <c r="F23" s="4"/>
      <c r="G23" s="4"/>
      <c r="H23" s="4"/>
      <c r="I23" s="4"/>
      <c r="L23" s="182"/>
    </row>
    <row r="24" spans="1:12" ht="20.25" customHeight="1" thickBot="1">
      <c r="A24" s="341"/>
      <c r="B24" s="341"/>
      <c r="C24" s="327">
        <v>2017</v>
      </c>
      <c r="D24" s="327"/>
      <c r="E24" s="327"/>
      <c r="F24" s="150"/>
      <c r="G24" s="327">
        <v>2018</v>
      </c>
      <c r="H24" s="327"/>
      <c r="I24" s="327"/>
      <c r="L24" s="182"/>
    </row>
    <row r="25" spans="1:12" ht="20.25" customHeight="1">
      <c r="A25" s="342"/>
      <c r="B25" s="342"/>
      <c r="C25" s="337" t="s">
        <v>167</v>
      </c>
      <c r="D25" s="337"/>
      <c r="E25" s="337"/>
      <c r="F25" s="150"/>
      <c r="G25" s="328" t="s">
        <v>167</v>
      </c>
      <c r="H25" s="328"/>
      <c r="I25" s="328"/>
    </row>
    <row r="26" spans="1:12" ht="36" customHeight="1" thickBot="1">
      <c r="A26" s="342"/>
      <c r="B26" s="342"/>
      <c r="C26" s="127" t="s">
        <v>175</v>
      </c>
      <c r="D26" s="127" t="s">
        <v>176</v>
      </c>
      <c r="E26" s="137" t="s">
        <v>177</v>
      </c>
      <c r="F26" s="147"/>
      <c r="G26" s="133" t="s">
        <v>175</v>
      </c>
      <c r="H26" s="133" t="s">
        <v>176</v>
      </c>
      <c r="I26" s="133" t="s">
        <v>177</v>
      </c>
    </row>
    <row r="27" spans="1:12" ht="15" customHeight="1">
      <c r="A27" s="151"/>
      <c r="B27" s="148"/>
      <c r="C27" s="148"/>
      <c r="D27" s="149"/>
      <c r="E27" s="148"/>
      <c r="F27" s="148"/>
      <c r="G27" s="148"/>
      <c r="H27" s="148"/>
      <c r="I27" s="148"/>
    </row>
    <row r="28" spans="1:12" ht="56.25" customHeight="1">
      <c r="A28" s="338" t="s">
        <v>56</v>
      </c>
      <c r="B28" s="338"/>
      <c r="C28" s="259">
        <f>C30/C29</f>
        <v>2.35</v>
      </c>
      <c r="D28" s="259">
        <f t="shared" ref="D28" si="2">D30/D29</f>
        <v>2.3628618747929777</v>
      </c>
      <c r="E28" s="259">
        <f t="shared" ref="E28" si="3">E30/E29</f>
        <v>2.2894227769110764</v>
      </c>
      <c r="F28" s="73"/>
      <c r="G28" s="259">
        <f>G30/G29</f>
        <v>2.4448003511864753</v>
      </c>
      <c r="H28" s="259">
        <f t="shared" ref="H28:I28" si="4">H30/H29</f>
        <v>2.488665128701121</v>
      </c>
      <c r="I28" s="259">
        <f t="shared" si="4"/>
        <v>2.2215359687141887</v>
      </c>
    </row>
    <row r="29" spans="1:12" ht="56.25" customHeight="1">
      <c r="A29" s="40"/>
      <c r="B29" s="36" t="s">
        <v>105</v>
      </c>
      <c r="C29" s="231">
        <f>SUM(D29:E29)</f>
        <v>91500</v>
      </c>
      <c r="D29" s="232">
        <v>75475</v>
      </c>
      <c r="E29" s="232">
        <v>16025</v>
      </c>
      <c r="F29" s="74"/>
      <c r="G29" s="231">
        <f>SUM(H29:I29)</f>
        <v>101547.0404610001</v>
      </c>
      <c r="H29" s="233">
        <v>84872.191720000119</v>
      </c>
      <c r="I29" s="233">
        <v>16674.848740999976</v>
      </c>
    </row>
    <row r="30" spans="1:12" ht="45" customHeight="1" thickBot="1">
      <c r="A30" s="281"/>
      <c r="B30" s="201" t="s">
        <v>106</v>
      </c>
      <c r="C30" s="300">
        <f>SUM(D30:E30)</f>
        <v>215025</v>
      </c>
      <c r="D30" s="301">
        <v>178337</v>
      </c>
      <c r="E30" s="301">
        <v>36688</v>
      </c>
      <c r="F30" s="302"/>
      <c r="G30" s="300">
        <f>SUM(H30:I30)</f>
        <v>248262.24018100026</v>
      </c>
      <c r="H30" s="301">
        <v>211218.46393000032</v>
      </c>
      <c r="I30" s="301">
        <v>37043.776250999952</v>
      </c>
    </row>
    <row r="31" spans="1:12" ht="15" customHeight="1" thickBot="1">
      <c r="A31" s="157"/>
      <c r="B31" s="157"/>
      <c r="C31" s="157"/>
      <c r="D31" s="157"/>
      <c r="E31" s="157"/>
      <c r="F31" s="157"/>
      <c r="G31" s="157"/>
      <c r="H31" s="157"/>
      <c r="I31" s="157"/>
    </row>
    <row r="32" spans="1:12">
      <c r="A32" s="153"/>
      <c r="B32" s="153"/>
      <c r="C32" s="153"/>
      <c r="D32" s="153"/>
      <c r="E32" s="153"/>
      <c r="F32" s="153"/>
      <c r="G32" s="153"/>
      <c r="H32" s="153"/>
      <c r="I32" s="153"/>
    </row>
    <row r="33" spans="4:7">
      <c r="G33" s="41"/>
    </row>
    <row r="34" spans="4:7">
      <c r="G34" s="42"/>
    </row>
    <row r="42" spans="4:7">
      <c r="D42" s="43"/>
    </row>
    <row r="44" spans="4:7">
      <c r="D44" s="43"/>
    </row>
    <row r="45" spans="4:7">
      <c r="D45" s="43"/>
    </row>
    <row r="46" spans="4:7">
      <c r="D46" s="43"/>
    </row>
    <row r="47" spans="4:7">
      <c r="D47" s="43"/>
    </row>
  </sheetData>
  <sheetProtection algorithmName="SHA-512" hashValue="M3iRp99iSlQugaitU5Wi2Fa8cmCDtzBfnJ3UZEq5xp7DaWAROwoCQKsTAgQEYrcR0SuNPhiMG3tsgHb/Q1FthQ==" saltValue="fcWmRdQc33QXw6wzt2v3GQ==" spinCount="100000" sheet="1" objects="1" scenarios="1"/>
  <mergeCells count="19">
    <mergeCell ref="A1:I1"/>
    <mergeCell ref="A2:I2"/>
    <mergeCell ref="C4:E4"/>
    <mergeCell ref="G4:I4"/>
    <mergeCell ref="C5:E5"/>
    <mergeCell ref="G5:I5"/>
    <mergeCell ref="A4:B7"/>
    <mergeCell ref="G7:I7"/>
    <mergeCell ref="A28:B28"/>
    <mergeCell ref="A9:B9"/>
    <mergeCell ref="A11:B11"/>
    <mergeCell ref="A15:B15"/>
    <mergeCell ref="A21:I21"/>
    <mergeCell ref="A22:I22"/>
    <mergeCell ref="A24:B26"/>
    <mergeCell ref="C24:E24"/>
    <mergeCell ref="G24:I24"/>
    <mergeCell ref="C25:E25"/>
    <mergeCell ref="G25:I25"/>
  </mergeCells>
  <pageMargins left="0.5" right="0.5" top="0.74803149606299202" bottom="0.74803149606299202" header="0.31496062992126" footer="0.31496062992126"/>
  <pageSetup paperSize="9" scale="95" orientation="portrait" r:id="rId1"/>
  <headerFooter>
    <oddFooter>&amp;C&amp;"Century Gothic,Regular"&amp;10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view="pageBreakPreview" zoomScaleNormal="100" zoomScaleSheetLayoutView="100" zoomScalePageLayoutView="115" workbookViewId="0">
      <selection sqref="A1:E1"/>
    </sheetView>
  </sheetViews>
  <sheetFormatPr defaultRowHeight="16.5"/>
  <cols>
    <col min="1" max="1" width="41.42578125" style="2" customWidth="1"/>
    <col min="2" max="2" width="12.140625" style="2" customWidth="1"/>
    <col min="3" max="3" width="12.7109375" style="2" customWidth="1"/>
    <col min="4" max="5" width="12.140625" style="2" customWidth="1"/>
    <col min="6" max="6" width="10.28515625" style="2" hidden="1" customWidth="1"/>
    <col min="7" max="7" width="0" style="2" hidden="1" customWidth="1"/>
    <col min="8" max="8" width="9.140625" style="2"/>
    <col min="9" max="10" width="18.42578125" style="2" customWidth="1"/>
    <col min="11" max="11" width="18.140625" style="2" customWidth="1"/>
    <col min="12" max="12" width="17.28515625" style="2" customWidth="1"/>
    <col min="13" max="17" width="9.140625" style="2"/>
    <col min="18" max="18" width="9.85546875" style="2" bestFit="1" customWidth="1"/>
    <col min="19" max="16384" width="9.140625" style="2"/>
  </cols>
  <sheetData>
    <row r="1" spans="1:12" ht="15" customHeight="1">
      <c r="A1" s="345" t="s">
        <v>147</v>
      </c>
      <c r="B1" s="345"/>
      <c r="C1" s="345"/>
      <c r="D1" s="345"/>
      <c r="E1" s="345"/>
      <c r="H1" s="5"/>
    </row>
    <row r="2" spans="1:12" ht="15" customHeight="1">
      <c r="A2" s="340" t="s">
        <v>148</v>
      </c>
      <c r="B2" s="340"/>
      <c r="C2" s="340"/>
      <c r="D2" s="340"/>
      <c r="E2" s="340"/>
    </row>
    <row r="3" spans="1:12" ht="15" customHeight="1" thickBot="1">
      <c r="A3" s="19"/>
      <c r="B3" s="20"/>
      <c r="C3" s="20"/>
      <c r="D3" s="20"/>
      <c r="E3" s="20"/>
    </row>
    <row r="4" spans="1:12" ht="30" customHeight="1">
      <c r="A4" s="330" t="s">
        <v>178</v>
      </c>
      <c r="B4" s="330" t="s">
        <v>179</v>
      </c>
      <c r="C4" s="330"/>
      <c r="D4" s="330" t="s">
        <v>180</v>
      </c>
      <c r="E4" s="330"/>
    </row>
    <row r="5" spans="1:12" ht="22.5" customHeight="1">
      <c r="A5" s="328"/>
      <c r="B5" s="328"/>
      <c r="C5" s="328"/>
      <c r="D5" s="328"/>
      <c r="E5" s="328"/>
    </row>
    <row r="6" spans="1:12" ht="22.5" customHeight="1" thickBot="1">
      <c r="A6" s="328"/>
      <c r="B6" s="133">
        <v>2017</v>
      </c>
      <c r="C6" s="133">
        <v>2018</v>
      </c>
      <c r="D6" s="133">
        <v>2017</v>
      </c>
      <c r="E6" s="133">
        <v>2018</v>
      </c>
    </row>
    <row r="7" spans="1:12" ht="22.5" customHeight="1">
      <c r="A7" s="161"/>
      <c r="B7" s="160"/>
      <c r="C7" s="160"/>
      <c r="D7" s="158"/>
      <c r="E7" s="159"/>
      <c r="F7" s="12"/>
      <c r="G7" s="14"/>
      <c r="I7" s="6"/>
      <c r="J7" s="6"/>
    </row>
    <row r="8" spans="1:12" ht="45" customHeight="1">
      <c r="A8" s="56" t="s">
        <v>57</v>
      </c>
      <c r="B8" s="224">
        <f>SUM(B9:B15)</f>
        <v>73662118.352337241</v>
      </c>
      <c r="C8" s="224">
        <f>SUM(C9:C15)</f>
        <v>82741382.548720881</v>
      </c>
      <c r="D8" s="120">
        <f>B8/B$19*100</f>
        <v>88.639957932351294</v>
      </c>
      <c r="E8" s="120">
        <f>C8/C$19*100</f>
        <v>89.390863425100704</v>
      </c>
      <c r="F8" s="12">
        <v>57609986.216964416</v>
      </c>
      <c r="G8" s="14">
        <v>0.88753730685989096</v>
      </c>
      <c r="I8" s="6"/>
      <c r="J8" s="6"/>
    </row>
    <row r="9" spans="1:12" ht="45" customHeight="1">
      <c r="A9" s="86" t="s">
        <v>58</v>
      </c>
      <c r="B9" s="117">
        <v>30149210.683437616</v>
      </c>
      <c r="C9" s="225">
        <v>34757932.262571767</v>
      </c>
      <c r="D9" s="234">
        <f t="shared" ref="D9:E16" si="0">B9/B$19*100</f>
        <v>36.279499238548745</v>
      </c>
      <c r="E9" s="234">
        <f t="shared" si="0"/>
        <v>37.551240746949389</v>
      </c>
      <c r="F9" s="12">
        <v>20973842.234668884</v>
      </c>
      <c r="G9" s="14">
        <v>0.32312223407511731</v>
      </c>
      <c r="H9" s="28"/>
      <c r="I9" s="6"/>
      <c r="J9" s="15"/>
      <c r="K9" s="16"/>
      <c r="L9" s="17"/>
    </row>
    <row r="10" spans="1:12" ht="45" customHeight="1">
      <c r="A10" s="86" t="s">
        <v>59</v>
      </c>
      <c r="B10" s="117">
        <v>12599421.249293024</v>
      </c>
      <c r="C10" s="225">
        <v>13630270.48523557</v>
      </c>
      <c r="D10" s="234">
        <f t="shared" si="0"/>
        <v>15.161282277648089</v>
      </c>
      <c r="E10" s="234">
        <f t="shared" si="0"/>
        <v>14.725662176063192</v>
      </c>
      <c r="F10" s="12">
        <v>11275603.123980792</v>
      </c>
      <c r="G10" s="14">
        <v>0.17371152272437052</v>
      </c>
      <c r="I10" s="6"/>
      <c r="J10" s="15"/>
      <c r="K10" s="16"/>
      <c r="L10" s="17"/>
    </row>
    <row r="11" spans="1:12" ht="45" customHeight="1">
      <c r="A11" s="85" t="s">
        <v>60</v>
      </c>
      <c r="B11" s="117">
        <v>5215067.4320265371</v>
      </c>
      <c r="C11" s="225">
        <v>5777434.4448166983</v>
      </c>
      <c r="D11" s="234">
        <f t="shared" si="0"/>
        <v>6.2754556633591614</v>
      </c>
      <c r="E11" s="234">
        <f t="shared" si="0"/>
        <v>6.2417358460257679</v>
      </c>
      <c r="F11" s="12">
        <v>4559908.8454698743</v>
      </c>
      <c r="G11" s="14">
        <v>7.0249786226180014E-2</v>
      </c>
      <c r="I11" s="6"/>
      <c r="J11" s="15"/>
    </row>
    <row r="12" spans="1:12" ht="45" customHeight="1">
      <c r="A12" s="85" t="s">
        <v>61</v>
      </c>
      <c r="B12" s="117">
        <v>11450376.193734853</v>
      </c>
      <c r="C12" s="225">
        <v>12785573.465050377</v>
      </c>
      <c r="D12" s="234">
        <f t="shared" si="0"/>
        <v>13.778600002616542</v>
      </c>
      <c r="E12" s="234">
        <f t="shared" si="0"/>
        <v>13.813081389508138</v>
      </c>
      <c r="F12" s="12">
        <v>8924721.5932157021</v>
      </c>
      <c r="G12" s="14">
        <v>0.13749392922063355</v>
      </c>
      <c r="I12" s="6"/>
      <c r="J12" s="15"/>
    </row>
    <row r="13" spans="1:12" ht="45" customHeight="1">
      <c r="A13" s="85" t="s">
        <v>62</v>
      </c>
      <c r="B13" s="117">
        <v>7164081.4375498369</v>
      </c>
      <c r="C13" s="225">
        <v>7882786.1346217878</v>
      </c>
      <c r="D13" s="234">
        <f t="shared" si="0"/>
        <v>8.620765889611528</v>
      </c>
      <c r="E13" s="234">
        <f t="shared" si="0"/>
        <v>8.5162833525815564</v>
      </c>
      <c r="F13" s="12">
        <v>6133293.2878916208</v>
      </c>
      <c r="G13" s="14">
        <v>9.4489288478847425E-2</v>
      </c>
      <c r="I13" s="6"/>
      <c r="J13" s="15"/>
    </row>
    <row r="14" spans="1:12" ht="67.5" customHeight="1">
      <c r="A14" s="85" t="s">
        <v>63</v>
      </c>
      <c r="B14" s="117">
        <v>2533686.3845347068</v>
      </c>
      <c r="C14" s="225">
        <v>3000638.5519834133</v>
      </c>
      <c r="D14" s="234">
        <f t="shared" si="0"/>
        <v>3.0488650009316722</v>
      </c>
      <c r="E14" s="234">
        <f t="shared" si="0"/>
        <v>3.2417837692100284</v>
      </c>
      <c r="F14" s="12">
        <v>1692882.6739382171</v>
      </c>
      <c r="G14" s="14">
        <v>2.6080487566831876E-2</v>
      </c>
      <c r="I14" s="6"/>
      <c r="J14" s="15"/>
    </row>
    <row r="15" spans="1:12" ht="45" customHeight="1">
      <c r="A15" s="86" t="s">
        <v>64</v>
      </c>
      <c r="B15" s="117">
        <v>4550274.9717606734</v>
      </c>
      <c r="C15" s="225">
        <v>4906747.2044412661</v>
      </c>
      <c r="D15" s="234">
        <f t="shared" si="0"/>
        <v>5.4754898596355597</v>
      </c>
      <c r="E15" s="234">
        <f t="shared" si="0"/>
        <v>5.3010761447626384</v>
      </c>
      <c r="F15" s="12">
        <v>4049734.4577993308</v>
      </c>
      <c r="G15" s="14">
        <v>6.2390058567910363E-2</v>
      </c>
      <c r="I15" s="6"/>
      <c r="J15" s="15"/>
    </row>
    <row r="16" spans="1:12" ht="45" customHeight="1">
      <c r="A16" s="56" t="s">
        <v>65</v>
      </c>
      <c r="B16" s="118">
        <v>9440491.4306627475</v>
      </c>
      <c r="C16" s="224">
        <v>9819959.1571332775</v>
      </c>
      <c r="D16" s="120">
        <f t="shared" si="0"/>
        <v>11.360042067648706</v>
      </c>
      <c r="E16" s="260">
        <f t="shared" si="0"/>
        <v>10.609136574899281</v>
      </c>
      <c r="F16" s="12">
        <v>7299945.7618824029</v>
      </c>
      <c r="G16" s="14">
        <v>0.11246269314010909</v>
      </c>
      <c r="I16" s="6"/>
      <c r="J16" s="6"/>
    </row>
    <row r="17" spans="1:10" ht="22.5" customHeight="1" thickBot="1">
      <c r="A17" s="18"/>
      <c r="B17" s="163"/>
      <c r="C17" s="164"/>
      <c r="D17" s="166"/>
      <c r="E17" s="168"/>
      <c r="F17" s="12"/>
      <c r="G17" s="14"/>
      <c r="I17" s="6"/>
      <c r="J17" s="6"/>
    </row>
    <row r="18" spans="1:10" ht="15" customHeight="1">
      <c r="A18" s="162"/>
      <c r="B18" s="113"/>
      <c r="C18" s="165"/>
      <c r="D18" s="167"/>
      <c r="E18" s="167"/>
      <c r="F18" s="12"/>
      <c r="G18" s="14"/>
      <c r="I18" s="6"/>
      <c r="J18" s="6"/>
    </row>
    <row r="19" spans="1:10" ht="45" customHeight="1" thickBot="1">
      <c r="A19" s="169" t="s">
        <v>110</v>
      </c>
      <c r="B19" s="226">
        <f>B8+B16</f>
        <v>83102609.782999992</v>
      </c>
      <c r="C19" s="226">
        <f>C8+C16</f>
        <v>92561341.705854163</v>
      </c>
      <c r="D19" s="171">
        <f>D8+D16</f>
        <v>100</v>
      </c>
      <c r="E19" s="171">
        <f>E8+E16</f>
        <v>99.999999999999986</v>
      </c>
      <c r="F19" s="12">
        <v>64909931.978846818</v>
      </c>
      <c r="G19" s="14">
        <v>1</v>
      </c>
      <c r="I19" s="6"/>
      <c r="J19" s="6"/>
    </row>
    <row r="20" spans="1:10">
      <c r="A20" s="170"/>
      <c r="B20" s="170"/>
      <c r="C20" s="170"/>
      <c r="D20" s="172"/>
      <c r="E20" s="170"/>
    </row>
    <row r="21" spans="1:10">
      <c r="C21" s="12"/>
      <c r="D21" s="7"/>
    </row>
    <row r="22" spans="1:10">
      <c r="B22" s="13"/>
    </row>
    <row r="23" spans="1:10">
      <c r="E23" s="28"/>
    </row>
  </sheetData>
  <sheetProtection algorithmName="SHA-512" hashValue="YWtOiIuRw92SNWuV0VJpt3wCymv0v/bppNggyUKb9YbhVGpvFDE1kg42zfT9j8R4Oyxu0p2l0XIe+2yOjil9Qg==" saltValue="6sy0n4TgCrpCOSeYlAbbcg==" spinCount="100000" sheet="1" objects="1" scenarios="1"/>
  <mergeCells count="5">
    <mergeCell ref="A1:E1"/>
    <mergeCell ref="A2:E2"/>
    <mergeCell ref="A4:A6"/>
    <mergeCell ref="B4:C5"/>
    <mergeCell ref="D4:E5"/>
  </mergeCells>
  <pageMargins left="0.70866141732283505" right="0.70866141732283505" top="0.74803149606299202" bottom="0.74803149606299202" header="0.31496062992126" footer="0.31496062992126"/>
  <pageSetup paperSize="9" scale="95" orientation="portrait" r:id="rId1"/>
  <headerFooter>
    <oddFooter>&amp;C&amp;"Century Gothic,Regular"&amp;10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view="pageBreakPreview" zoomScaleNormal="80" zoomScaleSheetLayoutView="100" workbookViewId="0">
      <selection sqref="A1:F1"/>
    </sheetView>
  </sheetViews>
  <sheetFormatPr defaultRowHeight="16.5"/>
  <cols>
    <col min="1" max="1" width="20.140625" style="2" customWidth="1"/>
    <col min="2" max="2" width="12.7109375" style="2" customWidth="1"/>
    <col min="3" max="6" width="20.140625" style="2" customWidth="1"/>
    <col min="7" max="16384" width="9.140625" style="2"/>
  </cols>
  <sheetData>
    <row r="1" spans="1:11" ht="15" customHeight="1">
      <c r="A1" s="346" t="s">
        <v>153</v>
      </c>
      <c r="B1" s="346"/>
      <c r="C1" s="346"/>
      <c r="D1" s="346"/>
      <c r="E1" s="346"/>
      <c r="F1" s="346"/>
      <c r="G1" s="5"/>
    </row>
    <row r="2" spans="1:11" ht="15" customHeight="1">
      <c r="A2" s="347" t="s">
        <v>154</v>
      </c>
      <c r="B2" s="347"/>
      <c r="C2" s="347"/>
      <c r="D2" s="347"/>
      <c r="E2" s="347"/>
      <c r="F2" s="347"/>
    </row>
    <row r="3" spans="1:11" ht="17.25" thickBot="1">
      <c r="A3" s="174"/>
      <c r="B3" s="173"/>
      <c r="C3" s="20"/>
      <c r="D3" s="20"/>
      <c r="E3" s="20"/>
      <c r="F3" s="20"/>
    </row>
    <row r="4" spans="1:11" ht="60" customHeight="1">
      <c r="A4" s="348" t="s">
        <v>181</v>
      </c>
      <c r="B4" s="330" t="s">
        <v>182</v>
      </c>
      <c r="C4" s="330" t="s">
        <v>183</v>
      </c>
      <c r="D4" s="330"/>
      <c r="E4" s="330"/>
      <c r="F4" s="350"/>
      <c r="G4" s="5"/>
    </row>
    <row r="5" spans="1:11" ht="20.100000000000001" customHeight="1" thickBot="1">
      <c r="A5" s="349"/>
      <c r="B5" s="329"/>
      <c r="C5" s="329"/>
      <c r="D5" s="329"/>
      <c r="E5" s="329"/>
      <c r="F5" s="351"/>
      <c r="G5" s="5"/>
    </row>
    <row r="6" spans="1:11" s="77" customFormat="1" ht="18.75" customHeight="1">
      <c r="A6" s="267"/>
      <c r="B6" s="76"/>
      <c r="C6" s="76"/>
      <c r="D6" s="76"/>
      <c r="E6" s="76"/>
      <c r="F6" s="268"/>
      <c r="G6" s="220"/>
    </row>
    <row r="7" spans="1:11" ht="67.5" customHeight="1">
      <c r="A7" s="269" t="s">
        <v>125</v>
      </c>
      <c r="B7" s="120">
        <v>40.595285699146402</v>
      </c>
      <c r="C7" s="219" t="s">
        <v>125</v>
      </c>
      <c r="D7" s="219" t="s">
        <v>128</v>
      </c>
      <c r="E7" s="219" t="s">
        <v>126</v>
      </c>
      <c r="F7" s="270" t="s">
        <v>129</v>
      </c>
      <c r="G7" s="5"/>
      <c r="H7" s="21"/>
      <c r="I7" s="21"/>
    </row>
    <row r="8" spans="1:11" ht="60" customHeight="1">
      <c r="A8" s="269" t="s">
        <v>126</v>
      </c>
      <c r="B8" s="120">
        <v>34.669861870360499</v>
      </c>
      <c r="C8" s="219" t="s">
        <v>126</v>
      </c>
      <c r="D8" s="219" t="s">
        <v>128</v>
      </c>
      <c r="E8" s="219" t="s">
        <v>129</v>
      </c>
      <c r="F8" s="270" t="s">
        <v>130</v>
      </c>
      <c r="G8" s="5"/>
    </row>
    <row r="9" spans="1:11" ht="78.75" customHeight="1">
      <c r="A9" s="269" t="s">
        <v>127</v>
      </c>
      <c r="B9" s="120">
        <v>10.364092243127301</v>
      </c>
      <c r="C9" s="219" t="s">
        <v>129</v>
      </c>
      <c r="D9" s="219" t="s">
        <v>128</v>
      </c>
      <c r="E9" s="219" t="s">
        <v>126</v>
      </c>
      <c r="F9" s="270" t="s">
        <v>125</v>
      </c>
      <c r="G9" s="5"/>
      <c r="H9" s="5"/>
      <c r="I9" s="5"/>
      <c r="J9" s="5"/>
      <c r="K9" s="5"/>
    </row>
    <row r="10" spans="1:11" ht="86.25" customHeight="1">
      <c r="A10" s="269" t="s">
        <v>140</v>
      </c>
      <c r="B10" s="120">
        <v>5.2438743350858301</v>
      </c>
      <c r="C10" s="219" t="s">
        <v>128</v>
      </c>
      <c r="D10" s="219" t="s">
        <v>126</v>
      </c>
      <c r="E10" s="219" t="s">
        <v>130</v>
      </c>
      <c r="F10" s="270" t="s">
        <v>129</v>
      </c>
      <c r="G10" s="5"/>
    </row>
    <row r="11" spans="1:11" ht="75" customHeight="1">
      <c r="A11" s="269" t="s">
        <v>139</v>
      </c>
      <c r="B11" s="120">
        <v>4.5621619743159396</v>
      </c>
      <c r="C11" s="219" t="s">
        <v>131</v>
      </c>
      <c r="D11" s="219" t="s">
        <v>128</v>
      </c>
      <c r="E11" s="219" t="s">
        <v>126</v>
      </c>
      <c r="F11" s="270" t="s">
        <v>125</v>
      </c>
      <c r="G11" s="5"/>
    </row>
    <row r="12" spans="1:11" ht="96" customHeight="1">
      <c r="A12" s="269" t="s">
        <v>138</v>
      </c>
      <c r="B12" s="120">
        <v>1.54163183182269</v>
      </c>
      <c r="C12" s="219" t="s">
        <v>132</v>
      </c>
      <c r="D12" s="219" t="s">
        <v>198</v>
      </c>
      <c r="E12" s="219" t="s">
        <v>128</v>
      </c>
      <c r="F12" s="270" t="s">
        <v>126</v>
      </c>
      <c r="G12" s="5"/>
    </row>
    <row r="13" spans="1:11" ht="82.5" customHeight="1">
      <c r="A13" s="269" t="s">
        <v>137</v>
      </c>
      <c r="B13" s="120">
        <v>1.4157095559359401</v>
      </c>
      <c r="C13" s="219" t="s">
        <v>134</v>
      </c>
      <c r="D13" s="219" t="s">
        <v>133</v>
      </c>
      <c r="E13" s="219" t="s">
        <v>128</v>
      </c>
      <c r="F13" s="270" t="s">
        <v>126</v>
      </c>
      <c r="G13" s="5"/>
    </row>
    <row r="14" spans="1:11" ht="69" customHeight="1">
      <c r="A14" s="269" t="s">
        <v>136</v>
      </c>
      <c r="B14" s="175">
        <v>1.6073824902054199</v>
      </c>
      <c r="C14" s="219" t="s">
        <v>128</v>
      </c>
      <c r="D14" s="219" t="s">
        <v>135</v>
      </c>
      <c r="E14" s="219" t="s">
        <v>126</v>
      </c>
      <c r="F14" s="270" t="s">
        <v>129</v>
      </c>
      <c r="G14" s="5"/>
    </row>
    <row r="15" spans="1:11" ht="45" customHeight="1" thickBot="1">
      <c r="A15" s="271" t="s">
        <v>66</v>
      </c>
      <c r="B15" s="272">
        <f>SUM(B7:B14)</f>
        <v>100.00000000000001</v>
      </c>
      <c r="C15" s="176"/>
      <c r="D15" s="273"/>
      <c r="E15" s="176"/>
      <c r="F15" s="274"/>
      <c r="G15" s="5"/>
    </row>
    <row r="16" spans="1:11">
      <c r="A16" s="170"/>
      <c r="B16" s="170"/>
      <c r="D16" s="172"/>
      <c r="E16" s="170"/>
      <c r="F16" s="170"/>
    </row>
    <row r="17" spans="1:4">
      <c r="C17" s="13"/>
      <c r="D17" s="7"/>
    </row>
    <row r="18" spans="1:4">
      <c r="A18" s="18"/>
      <c r="D18" s="7"/>
    </row>
    <row r="19" spans="1:4">
      <c r="D19" s="7"/>
    </row>
  </sheetData>
  <sheetProtection algorithmName="SHA-512" hashValue="VDxHbeowi0xByFnepmcGc/qdbXlEkQxq2VjWSt/5AI1jsKGAEPy8NFgPv2oz248f8uISdunOkRDKh0dSizcdIw==" saltValue="qXwjc6xUb9YZUFFSsKp+JA==" spinCount="100000" sheet="1" objects="1" scenarios="1"/>
  <mergeCells count="5">
    <mergeCell ref="A1:F1"/>
    <mergeCell ref="A2:F2"/>
    <mergeCell ref="A4:A5"/>
    <mergeCell ref="C4:F5"/>
    <mergeCell ref="B4:B5"/>
  </mergeCells>
  <pageMargins left="0.511811023622047" right="0.31496062992126" top="0.74803149606299202" bottom="0.5" header="0.31496062992126" footer="0.31496062992126"/>
  <pageSetup paperSize="9" scale="80" orientation="portrait" r:id="rId1"/>
  <headerFooter>
    <oddFooter>&amp;C&amp;"Century Gothic,Regular"&amp;10 31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K55"/>
  <sheetViews>
    <sheetView view="pageBreakPreview" zoomScaleNormal="100" zoomScaleSheetLayoutView="100" zoomScalePageLayoutView="80" workbookViewId="0">
      <selection sqref="A1:J1"/>
    </sheetView>
  </sheetViews>
  <sheetFormatPr defaultRowHeight="16.5"/>
  <cols>
    <col min="1" max="1" width="6.140625" style="34" customWidth="1"/>
    <col min="2" max="2" width="17.7109375" style="34" customWidth="1"/>
    <col min="3" max="5" width="9.7109375" style="34" customWidth="1"/>
    <col min="6" max="6" width="2.7109375" style="34" customWidth="1"/>
    <col min="7" max="7" width="17.7109375" style="34" customWidth="1"/>
    <col min="8" max="10" width="9.7109375" style="34" customWidth="1"/>
    <col min="11" max="12" width="9.140625" style="34"/>
    <col min="13" max="13" width="15.140625" style="34" customWidth="1"/>
    <col min="14" max="14" width="13.5703125" style="34" customWidth="1"/>
    <col min="15" max="15" width="20.7109375" style="34" customWidth="1"/>
    <col min="16" max="16" width="22.85546875" style="34" customWidth="1"/>
    <col min="17" max="17" width="25.28515625" style="34" customWidth="1"/>
    <col min="18" max="18" width="26.85546875" style="34" customWidth="1"/>
    <col min="19" max="16384" width="9.140625" style="34"/>
  </cols>
  <sheetData>
    <row r="1" spans="1:11" s="45" customFormat="1" ht="15" customHeight="1">
      <c r="B1" s="363" t="s">
        <v>215</v>
      </c>
      <c r="C1" s="363"/>
      <c r="D1" s="363"/>
      <c r="E1" s="363"/>
      <c r="F1" s="363"/>
      <c r="G1" s="363"/>
      <c r="H1" s="363"/>
      <c r="I1" s="363"/>
      <c r="J1" s="363"/>
      <c r="K1" s="44"/>
    </row>
    <row r="2" spans="1:11" s="45" customFormat="1" ht="15" customHeight="1">
      <c r="B2" s="364" t="s">
        <v>216</v>
      </c>
      <c r="C2" s="364"/>
      <c r="D2" s="364"/>
      <c r="E2" s="364"/>
      <c r="F2" s="364"/>
      <c r="G2" s="364"/>
      <c r="H2" s="364"/>
      <c r="I2" s="364"/>
      <c r="J2" s="364"/>
      <c r="K2" s="1"/>
    </row>
    <row r="3" spans="1:11" ht="17.25" thickBot="1">
      <c r="A3" s="48"/>
      <c r="B3" s="48"/>
      <c r="C3" s="48"/>
      <c r="D3" s="48"/>
      <c r="E3" s="48"/>
      <c r="F3" s="48"/>
      <c r="G3" s="48"/>
      <c r="H3" s="47"/>
      <c r="I3" s="48"/>
      <c r="J3" s="48"/>
    </row>
    <row r="4" spans="1:11" ht="32.25" customHeight="1">
      <c r="A4" s="48"/>
      <c r="B4" s="357" t="s">
        <v>185</v>
      </c>
      <c r="C4" s="359" t="s">
        <v>184</v>
      </c>
      <c r="D4" s="359"/>
      <c r="E4" s="360"/>
      <c r="F4" s="221"/>
      <c r="G4" s="357" t="s">
        <v>185</v>
      </c>
      <c r="H4" s="359" t="s">
        <v>184</v>
      </c>
      <c r="I4" s="359"/>
      <c r="J4" s="360"/>
    </row>
    <row r="5" spans="1:11" ht="31.5" customHeight="1" thickBot="1">
      <c r="A5" s="48"/>
      <c r="B5" s="358"/>
      <c r="C5" s="361"/>
      <c r="D5" s="361"/>
      <c r="E5" s="362"/>
      <c r="F5" s="221"/>
      <c r="G5" s="358"/>
      <c r="H5" s="361"/>
      <c r="I5" s="361"/>
      <c r="J5" s="362"/>
    </row>
    <row r="6" spans="1:11" ht="95.1" customHeight="1" thickBot="1">
      <c r="A6" s="48"/>
      <c r="B6" s="275" t="s">
        <v>1</v>
      </c>
      <c r="C6" s="355" t="s">
        <v>199</v>
      </c>
      <c r="D6" s="355"/>
      <c r="E6" s="356"/>
      <c r="F6" s="222"/>
      <c r="G6" s="275" t="s">
        <v>9</v>
      </c>
      <c r="H6" s="355" t="s">
        <v>200</v>
      </c>
      <c r="I6" s="355"/>
      <c r="J6" s="356"/>
    </row>
    <row r="7" spans="1:11" ht="95.1" customHeight="1" thickBot="1">
      <c r="B7" s="275" t="s">
        <v>2</v>
      </c>
      <c r="C7" s="355" t="s">
        <v>201</v>
      </c>
      <c r="D7" s="355"/>
      <c r="E7" s="356"/>
      <c r="F7" s="222"/>
      <c r="G7" s="275" t="s">
        <v>10</v>
      </c>
      <c r="H7" s="355" t="s">
        <v>208</v>
      </c>
      <c r="I7" s="355"/>
      <c r="J7" s="356"/>
    </row>
    <row r="8" spans="1:11" ht="95.1" customHeight="1" thickBot="1">
      <c r="B8" s="275" t="s">
        <v>3</v>
      </c>
      <c r="C8" s="355" t="s">
        <v>202</v>
      </c>
      <c r="D8" s="355"/>
      <c r="E8" s="356"/>
      <c r="F8" s="223"/>
      <c r="G8" s="275" t="s">
        <v>11</v>
      </c>
      <c r="H8" s="355" t="s">
        <v>209</v>
      </c>
      <c r="I8" s="355"/>
      <c r="J8" s="356"/>
    </row>
    <row r="9" spans="1:11" ht="95.1" customHeight="1" thickBot="1">
      <c r="B9" s="275" t="s">
        <v>4</v>
      </c>
      <c r="C9" s="355" t="s">
        <v>203</v>
      </c>
      <c r="D9" s="355"/>
      <c r="E9" s="356"/>
      <c r="F9" s="222"/>
      <c r="G9" s="275" t="s">
        <v>12</v>
      </c>
      <c r="H9" s="355" t="s">
        <v>210</v>
      </c>
      <c r="I9" s="355"/>
      <c r="J9" s="356"/>
    </row>
    <row r="10" spans="1:11" ht="95.1" customHeight="1" thickBot="1">
      <c r="B10" s="275" t="s">
        <v>5</v>
      </c>
      <c r="C10" s="355" t="s">
        <v>204</v>
      </c>
      <c r="D10" s="355"/>
      <c r="E10" s="356"/>
      <c r="F10" s="222"/>
      <c r="G10" s="275" t="s">
        <v>13</v>
      </c>
      <c r="H10" s="355" t="s">
        <v>214</v>
      </c>
      <c r="I10" s="355"/>
      <c r="J10" s="356"/>
    </row>
    <row r="11" spans="1:11" ht="95.1" customHeight="1" thickBot="1">
      <c r="B11" s="275" t="s">
        <v>6</v>
      </c>
      <c r="C11" s="355" t="s">
        <v>205</v>
      </c>
      <c r="D11" s="355"/>
      <c r="E11" s="356"/>
      <c r="F11" s="29"/>
      <c r="G11" s="275" t="s">
        <v>14</v>
      </c>
      <c r="H11" s="355" t="s">
        <v>211</v>
      </c>
      <c r="I11" s="355"/>
      <c r="J11" s="356"/>
    </row>
    <row r="12" spans="1:11" ht="95.1" customHeight="1" thickBot="1">
      <c r="B12" s="275" t="s">
        <v>7</v>
      </c>
      <c r="C12" s="352" t="s">
        <v>206</v>
      </c>
      <c r="D12" s="353"/>
      <c r="E12" s="354"/>
      <c r="F12" s="222"/>
      <c r="G12" s="275" t="s">
        <v>15</v>
      </c>
      <c r="H12" s="355" t="s">
        <v>212</v>
      </c>
      <c r="I12" s="355"/>
      <c r="J12" s="356"/>
    </row>
    <row r="13" spans="1:11" ht="95.1" customHeight="1" thickBot="1">
      <c r="B13" s="275" t="s">
        <v>8</v>
      </c>
      <c r="C13" s="352" t="s">
        <v>207</v>
      </c>
      <c r="D13" s="353"/>
      <c r="E13" s="354"/>
      <c r="F13" s="223"/>
      <c r="G13" s="275" t="s">
        <v>16</v>
      </c>
      <c r="H13" s="355" t="s">
        <v>213</v>
      </c>
      <c r="I13" s="355"/>
      <c r="J13" s="356"/>
    </row>
    <row r="14" spans="1:11" ht="66" customHeight="1"/>
    <row r="15" spans="1:11" ht="66" customHeight="1"/>
    <row r="16" spans="1:11" ht="66" customHeight="1"/>
    <row r="17" ht="66" customHeight="1"/>
    <row r="18" ht="66" customHeight="1"/>
    <row r="19" ht="66" customHeight="1"/>
    <row r="20" ht="66" customHeight="1"/>
    <row r="21" ht="66" customHeight="1"/>
    <row r="55" spans="7:7">
      <c r="G55" s="46"/>
    </row>
  </sheetData>
  <sheetProtection algorithmName="SHA-512" hashValue="sCk6VuBpxdSkRaNotyznNj8cbyT8wjdmKo6cum6jnoWo1DyxkaLAty4tfERgOTDHOvTFDbCYmAVyuYIur8j3FQ==" saltValue="KC2w4agBUma7zuWTjw/vew==" spinCount="100000" sheet="1" objects="1" scenarios="1"/>
  <mergeCells count="22">
    <mergeCell ref="B4:B5"/>
    <mergeCell ref="C4:E5"/>
    <mergeCell ref="G4:G5"/>
    <mergeCell ref="H4:J5"/>
    <mergeCell ref="B1:J1"/>
    <mergeCell ref="B2:J2"/>
    <mergeCell ref="C12:E12"/>
    <mergeCell ref="C13:E13"/>
    <mergeCell ref="H6:J6"/>
    <mergeCell ref="H7:J7"/>
    <mergeCell ref="H8:J8"/>
    <mergeCell ref="C7:E7"/>
    <mergeCell ref="C8:E8"/>
    <mergeCell ref="C9:E9"/>
    <mergeCell ref="C10:E10"/>
    <mergeCell ref="C11:E11"/>
    <mergeCell ref="C6:E6"/>
    <mergeCell ref="H9:J9"/>
    <mergeCell ref="H10:J10"/>
    <mergeCell ref="H11:J11"/>
    <mergeCell ref="H12:J12"/>
    <mergeCell ref="H13:J13"/>
  </mergeCells>
  <pageMargins left="0.5" right="0.5" top="0.74803149606299202" bottom="0.74803149606299202" header="0.31496062992126" footer="0.31496062992126"/>
  <pageSetup paperSize="9" scale="85" orientation="portrait" r:id="rId1"/>
  <headerFooter>
    <oddFooter>&amp;C&amp;"Century Gothic,Regular"&amp;10 32</oddFoot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K41"/>
  <sheetViews>
    <sheetView view="pageBreakPreview" zoomScaleNormal="100" zoomScaleSheetLayoutView="100" zoomScalePageLayoutView="160" workbookViewId="0">
      <selection sqref="A1:J1"/>
    </sheetView>
  </sheetViews>
  <sheetFormatPr defaultRowHeight="16.5"/>
  <cols>
    <col min="1" max="1" width="6.140625" style="34" customWidth="1"/>
    <col min="2" max="2" width="17.7109375" style="34" customWidth="1"/>
    <col min="3" max="5" width="9.7109375" style="34" customWidth="1"/>
    <col min="6" max="6" width="2.7109375" style="34" customWidth="1"/>
    <col min="7" max="7" width="17.7109375" style="34" customWidth="1"/>
    <col min="8" max="10" width="9.7109375" style="34" customWidth="1"/>
    <col min="11" max="12" width="9.140625" style="34"/>
    <col min="13" max="13" width="15.140625" style="34" customWidth="1"/>
    <col min="14" max="14" width="13.5703125" style="34" customWidth="1"/>
    <col min="15" max="15" width="20.7109375" style="34" customWidth="1"/>
    <col min="16" max="16" width="22.85546875" style="34" customWidth="1"/>
    <col min="17" max="17" width="25.28515625" style="34" customWidth="1"/>
    <col min="18" max="18" width="26.85546875" style="34" customWidth="1"/>
    <col min="19" max="16384" width="9.140625" style="34"/>
  </cols>
  <sheetData>
    <row r="1" spans="1:11" s="45" customFormat="1" ht="15" customHeight="1">
      <c r="B1" s="370" t="s">
        <v>218</v>
      </c>
      <c r="C1" s="370"/>
      <c r="D1" s="370"/>
      <c r="E1" s="370"/>
      <c r="F1" s="370"/>
      <c r="G1" s="370"/>
      <c r="H1" s="370"/>
      <c r="I1" s="370"/>
      <c r="J1" s="370"/>
      <c r="K1" s="44"/>
    </row>
    <row r="2" spans="1:11" s="45" customFormat="1" ht="15" customHeight="1">
      <c r="B2" s="371" t="s">
        <v>217</v>
      </c>
      <c r="C2" s="371"/>
      <c r="D2" s="371"/>
      <c r="E2" s="371"/>
      <c r="F2" s="371"/>
      <c r="G2" s="371"/>
      <c r="H2" s="371"/>
      <c r="I2" s="371"/>
      <c r="J2" s="371"/>
      <c r="K2" s="1"/>
    </row>
    <row r="3" spans="1:11" ht="17.25" thickBot="1">
      <c r="A3" s="48"/>
      <c r="B3" s="66"/>
      <c r="C3" s="66"/>
      <c r="D3" s="66"/>
      <c r="E3" s="66"/>
      <c r="F3" s="66"/>
      <c r="G3" s="66"/>
      <c r="H3" s="193"/>
      <c r="I3" s="66"/>
      <c r="J3" s="66"/>
    </row>
    <row r="4" spans="1:11" ht="48.75" customHeight="1">
      <c r="A4" s="48"/>
      <c r="B4" s="372" t="s">
        <v>243</v>
      </c>
      <c r="C4" s="374" t="s">
        <v>244</v>
      </c>
      <c r="D4" s="374"/>
      <c r="E4" s="375"/>
      <c r="F4" s="293"/>
      <c r="G4" s="372" t="s">
        <v>243</v>
      </c>
      <c r="H4" s="374" t="s">
        <v>244</v>
      </c>
      <c r="I4" s="374"/>
      <c r="J4" s="375"/>
    </row>
    <row r="5" spans="1:11" ht="48.75" customHeight="1" thickBot="1">
      <c r="A5" s="48"/>
      <c r="B5" s="373"/>
      <c r="C5" s="376"/>
      <c r="D5" s="376"/>
      <c r="E5" s="377"/>
      <c r="F5" s="293"/>
      <c r="G5" s="373"/>
      <c r="H5" s="376"/>
      <c r="I5" s="376"/>
      <c r="J5" s="377"/>
    </row>
    <row r="6" spans="1:11" ht="115.5" customHeight="1" thickBot="1">
      <c r="A6" s="48"/>
      <c r="B6" s="295" t="s">
        <v>219</v>
      </c>
      <c r="C6" s="365" t="s">
        <v>220</v>
      </c>
      <c r="D6" s="365"/>
      <c r="E6" s="366"/>
      <c r="F6" s="294"/>
      <c r="G6" s="295" t="s">
        <v>221</v>
      </c>
      <c r="H6" s="367" t="s">
        <v>222</v>
      </c>
      <c r="I6" s="368"/>
      <c r="J6" s="369"/>
    </row>
    <row r="7" spans="1:11" ht="115.5" customHeight="1" thickBot="1">
      <c r="B7" s="295" t="s">
        <v>223</v>
      </c>
      <c r="C7" s="365" t="s">
        <v>224</v>
      </c>
      <c r="D7" s="365"/>
      <c r="E7" s="366"/>
      <c r="F7" s="294"/>
      <c r="G7" s="295" t="s">
        <v>231</v>
      </c>
      <c r="H7" s="367" t="s">
        <v>229</v>
      </c>
      <c r="I7" s="368"/>
      <c r="J7" s="369"/>
    </row>
    <row r="8" spans="1:11" ht="115.5" customHeight="1" thickBot="1">
      <c r="B8" s="295" t="s">
        <v>226</v>
      </c>
      <c r="C8" s="365" t="s">
        <v>225</v>
      </c>
      <c r="D8" s="365"/>
      <c r="E8" s="366"/>
      <c r="F8" s="296"/>
      <c r="G8" s="295" t="s">
        <v>232</v>
      </c>
      <c r="H8" s="365" t="s">
        <v>230</v>
      </c>
      <c r="I8" s="365"/>
      <c r="J8" s="366"/>
    </row>
    <row r="9" spans="1:11" ht="115.5" customHeight="1" thickBot="1">
      <c r="B9" s="295" t="s">
        <v>227</v>
      </c>
      <c r="C9" s="365" t="s">
        <v>228</v>
      </c>
      <c r="D9" s="365"/>
      <c r="E9" s="366"/>
      <c r="F9" s="294"/>
      <c r="G9" s="295" t="s">
        <v>233</v>
      </c>
      <c r="H9" s="365" t="s">
        <v>234</v>
      </c>
      <c r="I9" s="365"/>
      <c r="J9" s="366"/>
    </row>
    <row r="10" spans="1:11" ht="115.5" customHeight="1" thickBot="1">
      <c r="B10" s="295" t="s">
        <v>237</v>
      </c>
      <c r="C10" s="365" t="s">
        <v>235</v>
      </c>
      <c r="D10" s="365"/>
      <c r="E10" s="366"/>
      <c r="F10" s="294"/>
      <c r="G10" s="295" t="s">
        <v>239</v>
      </c>
      <c r="H10" s="365" t="s">
        <v>240</v>
      </c>
      <c r="I10" s="365"/>
      <c r="J10" s="366"/>
    </row>
    <row r="11" spans="1:11" ht="115.5" customHeight="1" thickBot="1">
      <c r="B11" s="295" t="s">
        <v>236</v>
      </c>
      <c r="C11" s="365" t="s">
        <v>238</v>
      </c>
      <c r="D11" s="365"/>
      <c r="E11" s="366"/>
      <c r="F11" s="297"/>
      <c r="G11" s="295" t="s">
        <v>241</v>
      </c>
      <c r="H11" s="365" t="s">
        <v>242</v>
      </c>
      <c r="I11" s="365"/>
      <c r="J11" s="366"/>
    </row>
    <row r="13" spans="1:11">
      <c r="B13" s="298" t="s">
        <v>245</v>
      </c>
    </row>
    <row r="14" spans="1:11">
      <c r="B14" s="299" t="s">
        <v>246</v>
      </c>
    </row>
    <row r="41" spans="7:7">
      <c r="G41" s="46"/>
    </row>
  </sheetData>
  <sheetProtection algorithmName="SHA-512" hashValue="kA2edmcv+fXR4gdAhtHrtp1iFcWvaw8/AHVouu+HOvHeaOgUzBUu5AeNU3C8AFxOp966txm5RqN5gZXGv6wg+g==" saltValue="PZcEPEhBqa54eoxicSwvfw==" spinCount="100000" sheet="1" objects="1" scenarios="1"/>
  <mergeCells count="18">
    <mergeCell ref="B1:J1"/>
    <mergeCell ref="B2:J2"/>
    <mergeCell ref="B4:B5"/>
    <mergeCell ref="C4:E5"/>
    <mergeCell ref="G4:G5"/>
    <mergeCell ref="H4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</mergeCells>
  <pageMargins left="0.5" right="0.5" top="0.74803149606299202" bottom="0.74803149606299202" header="0.31496062992126" footer="0.31496062992126"/>
  <pageSetup paperSize="9" scale="85" orientation="portrait" r:id="rId1"/>
  <headerFooter>
    <oddFooter>&amp;C&amp;"Century Gothic,Regular"&amp;10 33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25"/>
  <sheetViews>
    <sheetView view="pageBreakPreview" zoomScaleNormal="100" zoomScaleSheetLayoutView="100" workbookViewId="0">
      <selection sqref="A1:I1"/>
    </sheetView>
  </sheetViews>
  <sheetFormatPr defaultRowHeight="16.5"/>
  <cols>
    <col min="1" max="1" width="18.140625" style="34" customWidth="1"/>
    <col min="2" max="9" width="10.42578125" style="34" customWidth="1"/>
    <col min="10" max="16384" width="9.140625" style="34"/>
  </cols>
  <sheetData>
    <row r="1" spans="1:13" ht="15" customHeight="1">
      <c r="A1" s="379" t="s">
        <v>142</v>
      </c>
      <c r="B1" s="379"/>
      <c r="C1" s="379"/>
      <c r="D1" s="379"/>
      <c r="E1" s="379"/>
      <c r="F1" s="379"/>
      <c r="G1" s="379"/>
      <c r="H1" s="379"/>
      <c r="I1" s="379"/>
    </row>
    <row r="2" spans="1:13" ht="15" customHeight="1">
      <c r="A2" s="380" t="s">
        <v>155</v>
      </c>
      <c r="B2" s="380"/>
      <c r="C2" s="380"/>
      <c r="D2" s="380"/>
      <c r="E2" s="380"/>
      <c r="F2" s="380"/>
      <c r="G2" s="380"/>
      <c r="H2" s="380"/>
      <c r="I2" s="380"/>
      <c r="J2" s="182"/>
    </row>
    <row r="3" spans="1:13" ht="17.25" thickBot="1">
      <c r="A3" s="185"/>
      <c r="B3" s="38"/>
      <c r="C3" s="186"/>
      <c r="D3" s="47"/>
      <c r="E3" s="177"/>
      <c r="F3" s="48"/>
      <c r="G3" s="48"/>
      <c r="I3" s="216"/>
      <c r="J3" s="182"/>
      <c r="K3" s="182"/>
    </row>
    <row r="4" spans="1:13" ht="45" customHeight="1" thickBot="1">
      <c r="A4" s="330" t="s">
        <v>186</v>
      </c>
      <c r="B4" s="327" t="s">
        <v>187</v>
      </c>
      <c r="C4" s="327"/>
      <c r="D4" s="327"/>
      <c r="E4" s="327"/>
      <c r="F4" s="327"/>
      <c r="G4" s="327"/>
      <c r="H4" s="327"/>
      <c r="I4" s="328"/>
      <c r="J4" s="328"/>
      <c r="K4" s="328"/>
      <c r="L4" s="328"/>
      <c r="M4" s="328"/>
    </row>
    <row r="5" spans="1:13" ht="18.75" customHeight="1" thickBot="1">
      <c r="A5" s="378"/>
      <c r="B5" s="181">
        <v>2011</v>
      </c>
      <c r="C5" s="181">
        <v>2012</v>
      </c>
      <c r="D5" s="181">
        <v>2013</v>
      </c>
      <c r="E5" s="181">
        <v>2014</v>
      </c>
      <c r="F5" s="181">
        <v>2015</v>
      </c>
      <c r="G5" s="181">
        <v>2016</v>
      </c>
      <c r="H5" s="181">
        <v>2017</v>
      </c>
      <c r="I5" s="184">
        <v>2018</v>
      </c>
      <c r="J5" s="83"/>
      <c r="K5" s="178"/>
      <c r="L5" s="178"/>
      <c r="M5" s="178"/>
    </row>
    <row r="6" spans="1:13" s="79" customFormat="1" ht="15" customHeight="1">
      <c r="A6" s="78"/>
      <c r="B6" s="179"/>
      <c r="C6" s="78"/>
      <c r="D6" s="179"/>
      <c r="E6" s="78"/>
      <c r="F6" s="179"/>
      <c r="G6" s="179"/>
      <c r="H6" s="78"/>
      <c r="I6" s="180"/>
    </row>
    <row r="7" spans="1:13" ht="36" customHeight="1">
      <c r="A7" s="49" t="s">
        <v>1</v>
      </c>
      <c r="B7" s="261">
        <v>9716</v>
      </c>
      <c r="C7" s="261">
        <v>9486</v>
      </c>
      <c r="D7" s="261">
        <v>10360</v>
      </c>
      <c r="E7" s="261">
        <v>11636.599050553257</v>
      </c>
      <c r="F7" s="261">
        <v>11589</v>
      </c>
      <c r="G7" s="261">
        <v>12207</v>
      </c>
      <c r="H7" s="261">
        <v>13140.639734447839</v>
      </c>
      <c r="I7" s="261">
        <v>13487.237911974893</v>
      </c>
      <c r="J7" s="42"/>
    </row>
    <row r="8" spans="1:13" ht="36" customHeight="1">
      <c r="A8" s="35" t="s">
        <v>2</v>
      </c>
      <c r="B8" s="261">
        <v>9751</v>
      </c>
      <c r="C8" s="261">
        <v>8474</v>
      </c>
      <c r="D8" s="261">
        <v>8706</v>
      </c>
      <c r="E8" s="261">
        <v>11372.809205243371</v>
      </c>
      <c r="F8" s="261">
        <v>12425</v>
      </c>
      <c r="G8" s="261">
        <v>13188</v>
      </c>
      <c r="H8" s="261">
        <v>13304.534929663003</v>
      </c>
      <c r="I8" s="261">
        <v>14480.018395564995</v>
      </c>
      <c r="J8" s="42"/>
    </row>
    <row r="9" spans="1:13" ht="36" customHeight="1">
      <c r="A9" s="35" t="s">
        <v>3</v>
      </c>
      <c r="B9" s="261">
        <v>9210</v>
      </c>
      <c r="C9" s="261">
        <v>10312</v>
      </c>
      <c r="D9" s="261">
        <v>11560</v>
      </c>
      <c r="E9" s="261">
        <v>12047.003245685824</v>
      </c>
      <c r="F9" s="261">
        <v>9070</v>
      </c>
      <c r="G9" s="261">
        <v>8646</v>
      </c>
      <c r="H9" s="261">
        <v>9623.6638225878305</v>
      </c>
      <c r="I9" s="261">
        <v>9846.1234357734047</v>
      </c>
      <c r="J9" s="42"/>
    </row>
    <row r="10" spans="1:13" ht="36" customHeight="1">
      <c r="A10" s="35" t="s">
        <v>4</v>
      </c>
      <c r="B10" s="261">
        <v>7485</v>
      </c>
      <c r="C10" s="261">
        <v>8413</v>
      </c>
      <c r="D10" s="261">
        <v>9783</v>
      </c>
      <c r="E10" s="261">
        <v>11582.093462750017</v>
      </c>
      <c r="F10" s="261">
        <v>11552</v>
      </c>
      <c r="G10" s="261">
        <v>12268</v>
      </c>
      <c r="H10" s="261">
        <v>12624.984812844006</v>
      </c>
      <c r="I10" s="261">
        <v>13122.604163489081</v>
      </c>
      <c r="J10" s="42"/>
    </row>
    <row r="11" spans="1:13" ht="36" customHeight="1">
      <c r="A11" s="35" t="s">
        <v>5</v>
      </c>
      <c r="B11" s="261">
        <v>7019</v>
      </c>
      <c r="C11" s="261">
        <v>8366</v>
      </c>
      <c r="D11" s="261">
        <v>7688</v>
      </c>
      <c r="E11" s="261">
        <v>8554.9305060897914</v>
      </c>
      <c r="F11" s="261">
        <v>9984</v>
      </c>
      <c r="G11" s="261">
        <v>10130</v>
      </c>
      <c r="H11" s="261">
        <v>10822.320552083342</v>
      </c>
      <c r="I11" s="261">
        <v>12802.118906088604</v>
      </c>
      <c r="J11" s="42"/>
    </row>
    <row r="12" spans="1:13" ht="36" customHeight="1">
      <c r="A12" s="35" t="s">
        <v>6</v>
      </c>
      <c r="B12" s="261">
        <v>7102</v>
      </c>
      <c r="C12" s="261">
        <v>7689</v>
      </c>
      <c r="D12" s="261">
        <v>9099</v>
      </c>
      <c r="E12" s="261">
        <v>13026.909904459495</v>
      </c>
      <c r="F12" s="261">
        <v>14398</v>
      </c>
      <c r="G12" s="261">
        <v>14168</v>
      </c>
      <c r="H12" s="261">
        <v>16491.339144200003</v>
      </c>
      <c r="I12" s="261">
        <v>18111.35657631723</v>
      </c>
      <c r="J12" s="42"/>
    </row>
    <row r="13" spans="1:13" ht="36" customHeight="1">
      <c r="A13" s="35" t="s">
        <v>7</v>
      </c>
      <c r="B13" s="261">
        <v>9601</v>
      </c>
      <c r="C13" s="261">
        <v>7601</v>
      </c>
      <c r="D13" s="261">
        <v>6319</v>
      </c>
      <c r="E13" s="261">
        <v>7858.4486508399577</v>
      </c>
      <c r="F13" s="261">
        <v>9341</v>
      </c>
      <c r="G13" s="261">
        <v>12565</v>
      </c>
      <c r="H13" s="261">
        <v>12642.643283266671</v>
      </c>
      <c r="I13" s="261">
        <v>14450.491190534132</v>
      </c>
      <c r="J13" s="42"/>
    </row>
    <row r="14" spans="1:13" ht="36" customHeight="1">
      <c r="A14" s="35" t="s">
        <v>8</v>
      </c>
      <c r="B14" s="261">
        <v>9142</v>
      </c>
      <c r="C14" s="261">
        <v>12998</v>
      </c>
      <c r="D14" s="261">
        <v>13997</v>
      </c>
      <c r="E14" s="261">
        <v>14595.890852655722</v>
      </c>
      <c r="F14" s="261">
        <v>15966</v>
      </c>
      <c r="G14" s="261">
        <v>16783</v>
      </c>
      <c r="H14" s="261">
        <v>20109.710067147469</v>
      </c>
      <c r="I14" s="261">
        <v>17553.161205881763</v>
      </c>
      <c r="J14" s="42"/>
    </row>
    <row r="15" spans="1:13" ht="36" customHeight="1">
      <c r="A15" s="35" t="s">
        <v>9</v>
      </c>
      <c r="B15" s="261">
        <v>1448</v>
      </c>
      <c r="C15" s="261">
        <v>980</v>
      </c>
      <c r="D15" s="261">
        <v>1057</v>
      </c>
      <c r="E15" s="261">
        <v>923.04250063859593</v>
      </c>
      <c r="F15" s="261">
        <v>1410</v>
      </c>
      <c r="G15" s="261">
        <v>1410</v>
      </c>
      <c r="H15" s="261">
        <v>1413.6105334002509</v>
      </c>
      <c r="I15" s="261">
        <v>2155.5079034031983</v>
      </c>
      <c r="J15" s="42"/>
    </row>
    <row r="16" spans="1:13" ht="36" customHeight="1">
      <c r="A16" s="35" t="s">
        <v>10</v>
      </c>
      <c r="B16" s="261">
        <v>15739</v>
      </c>
      <c r="C16" s="261">
        <v>17886</v>
      </c>
      <c r="D16" s="261">
        <v>21089</v>
      </c>
      <c r="E16" s="261">
        <v>21800.209369842967</v>
      </c>
      <c r="F16" s="261">
        <v>22063</v>
      </c>
      <c r="G16" s="261">
        <v>24124</v>
      </c>
      <c r="H16" s="261">
        <v>25491.161049860002</v>
      </c>
      <c r="I16" s="261">
        <v>30179.047204083134</v>
      </c>
      <c r="J16" s="42"/>
    </row>
    <row r="17" spans="1:10" ht="36" customHeight="1">
      <c r="A17" s="35" t="s">
        <v>11</v>
      </c>
      <c r="B17" s="261">
        <v>7094</v>
      </c>
      <c r="C17" s="261">
        <v>7939</v>
      </c>
      <c r="D17" s="261">
        <v>9593</v>
      </c>
      <c r="E17" s="261">
        <v>9498.5780406040849</v>
      </c>
      <c r="F17" s="261">
        <v>11483</v>
      </c>
      <c r="G17" s="261">
        <v>12010</v>
      </c>
      <c r="H17" s="261">
        <v>12979.376367230752</v>
      </c>
      <c r="I17" s="261">
        <v>13742.366364265199</v>
      </c>
      <c r="J17" s="42"/>
    </row>
    <row r="18" spans="1:10" ht="36" customHeight="1">
      <c r="A18" s="35" t="s">
        <v>12</v>
      </c>
      <c r="B18" s="261">
        <v>14673</v>
      </c>
      <c r="C18" s="261">
        <v>17301</v>
      </c>
      <c r="D18" s="261">
        <v>15783</v>
      </c>
      <c r="E18" s="261">
        <v>16220.015636654503</v>
      </c>
      <c r="F18" s="261">
        <v>15722</v>
      </c>
      <c r="G18" s="261">
        <v>16518</v>
      </c>
      <c r="H18" s="261">
        <v>17791.712641700004</v>
      </c>
      <c r="I18" s="261">
        <v>20359.881090789826</v>
      </c>
      <c r="J18" s="42"/>
    </row>
    <row r="19" spans="1:10" ht="36" customHeight="1">
      <c r="A19" s="35" t="s">
        <v>13</v>
      </c>
      <c r="B19" s="261">
        <v>8902</v>
      </c>
      <c r="C19" s="261">
        <v>10573</v>
      </c>
      <c r="D19" s="261">
        <v>12271</v>
      </c>
      <c r="E19" s="261">
        <v>13608.188391079259</v>
      </c>
      <c r="F19" s="261">
        <v>15355</v>
      </c>
      <c r="G19" s="261">
        <v>16282</v>
      </c>
      <c r="H19" s="261">
        <v>17670.347446291635</v>
      </c>
      <c r="I19" s="261">
        <v>19380.230199059883</v>
      </c>
      <c r="J19" s="42"/>
    </row>
    <row r="20" spans="1:10" ht="36" customHeight="1">
      <c r="A20" s="35" t="s">
        <v>14</v>
      </c>
      <c r="B20" s="261">
        <v>13353</v>
      </c>
      <c r="C20" s="261">
        <v>12538</v>
      </c>
      <c r="D20" s="261">
        <v>14440</v>
      </c>
      <c r="E20" s="261">
        <v>15419.467212230244</v>
      </c>
      <c r="F20" s="261">
        <v>15080</v>
      </c>
      <c r="G20" s="261">
        <v>16784</v>
      </c>
      <c r="H20" s="261">
        <v>19049.442477575205</v>
      </c>
      <c r="I20" s="261">
        <v>19165.497171370927</v>
      </c>
      <c r="J20" s="42"/>
    </row>
    <row r="21" spans="1:10" ht="36" customHeight="1">
      <c r="A21" s="35" t="s">
        <v>15</v>
      </c>
      <c r="B21" s="261">
        <v>311</v>
      </c>
      <c r="C21" s="261">
        <v>179</v>
      </c>
      <c r="D21" s="261">
        <v>253</v>
      </c>
      <c r="E21" s="261">
        <v>308.27604122300244</v>
      </c>
      <c r="F21" s="261">
        <v>310</v>
      </c>
      <c r="G21" s="261">
        <v>354</v>
      </c>
      <c r="H21" s="261">
        <v>381.00476774799995</v>
      </c>
      <c r="I21" s="261">
        <v>544.93202206699084</v>
      </c>
      <c r="J21" s="42"/>
    </row>
    <row r="22" spans="1:10" ht="36" customHeight="1" thickBot="1">
      <c r="A22" s="35" t="s">
        <v>16</v>
      </c>
      <c r="B22" s="262">
        <v>458</v>
      </c>
      <c r="C22" s="262">
        <v>698</v>
      </c>
      <c r="D22" s="262">
        <v>876</v>
      </c>
      <c r="E22" s="262">
        <v>829.56777814993973</v>
      </c>
      <c r="F22" s="262">
        <v>1188</v>
      </c>
      <c r="G22" s="262">
        <v>1816</v>
      </c>
      <c r="H22" s="262">
        <v>1871.8576835693332</v>
      </c>
      <c r="I22" s="262">
        <v>1891.9069933366768</v>
      </c>
      <c r="J22" s="42"/>
    </row>
    <row r="23" spans="1:10" ht="36" customHeight="1" thickBot="1">
      <c r="A23" s="183" t="s">
        <v>111</v>
      </c>
      <c r="B23" s="264">
        <v>131002</v>
      </c>
      <c r="C23" s="264">
        <v>141433</v>
      </c>
      <c r="D23" s="264">
        <v>152875</v>
      </c>
      <c r="E23" s="264">
        <v>169282.02984870007</v>
      </c>
      <c r="F23" s="264">
        <v>176937</v>
      </c>
      <c r="G23" s="264">
        <v>189253</v>
      </c>
      <c r="H23" s="264">
        <f>SUM(H7:H22)</f>
        <v>205408.34931361533</v>
      </c>
      <c r="I23" s="264">
        <v>221272.4807339999</v>
      </c>
    </row>
    <row r="24" spans="1:10">
      <c r="B24" s="182"/>
      <c r="C24" s="182"/>
      <c r="F24" s="182"/>
      <c r="I24" s="263"/>
    </row>
    <row r="25" spans="1:10">
      <c r="B25" s="50"/>
      <c r="H25" s="42"/>
    </row>
  </sheetData>
  <sheetProtection algorithmName="SHA-512" hashValue="2AWSzCSnjN/XyYocboqSW1LDxOZRTGX+4up5lLby3sbkxy1rPSSc+wEYrav1+4l87xT2z+jZniKHBSbDHFkqFg==" saltValue="fzszh1mgaa2h533cbIdQnw==" spinCount="100000" sheet="1" objects="1" scenarios="1"/>
  <mergeCells count="5">
    <mergeCell ref="A4:A5"/>
    <mergeCell ref="B4:H4"/>
    <mergeCell ref="I4:M4"/>
    <mergeCell ref="A1:I1"/>
    <mergeCell ref="A2:I2"/>
  </mergeCells>
  <printOptions horizontalCentered="1"/>
  <pageMargins left="0.51181102362204722" right="0.35433070866141736" top="0.74803149606299213" bottom="0.74803149606299213" header="0.31496062992125984" footer="0.31496062992125984"/>
  <pageSetup paperSize="9" scale="91" orientation="portrait" r:id="rId1"/>
  <headerFooter>
    <oddFooter>&amp;C&amp;"Century Gothic,Regular"&amp;10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AM33"/>
  <sheetViews>
    <sheetView showGridLines="0" view="pageBreakPreview" zoomScaleNormal="90" zoomScaleSheetLayoutView="100" workbookViewId="0">
      <selection activeCell="C1" sqref="C1:T1"/>
    </sheetView>
  </sheetViews>
  <sheetFormatPr defaultRowHeight="16.5"/>
  <cols>
    <col min="1" max="1" width="5.42578125" style="5" customWidth="1"/>
    <col min="2" max="2" width="2.140625" style="2" customWidth="1"/>
    <col min="3" max="3" width="15.7109375" style="2" customWidth="1"/>
    <col min="4" max="20" width="8.7109375" style="2" customWidth="1"/>
    <col min="21" max="21" width="10.7109375" style="2" customWidth="1"/>
    <col min="22" max="22" width="14" style="2" bestFit="1" customWidth="1"/>
    <col min="23" max="23" width="12.7109375" style="2" bestFit="1" customWidth="1"/>
    <col min="24" max="24" width="12.28515625" style="2" bestFit="1" customWidth="1"/>
    <col min="25" max="25" width="11.85546875" style="2" bestFit="1" customWidth="1"/>
    <col min="26" max="26" width="12.7109375" style="2" bestFit="1" customWidth="1"/>
    <col min="27" max="28" width="12.28515625" style="2" bestFit="1" customWidth="1"/>
    <col min="29" max="29" width="12.7109375" style="2" bestFit="1" customWidth="1"/>
    <col min="30" max="30" width="12.28515625" style="2" bestFit="1" customWidth="1"/>
    <col min="31" max="31" width="11.140625" style="2" bestFit="1" customWidth="1"/>
    <col min="32" max="32" width="12.28515625" style="2" bestFit="1" customWidth="1"/>
    <col min="33" max="33" width="12.7109375" style="2" bestFit="1" customWidth="1"/>
    <col min="34" max="34" width="11.85546875" style="2" bestFit="1" customWidth="1"/>
    <col min="35" max="35" width="12.7109375" style="2" bestFit="1" customWidth="1"/>
    <col min="36" max="36" width="11.85546875" style="2" bestFit="1" customWidth="1"/>
    <col min="37" max="38" width="11.5703125" style="2" bestFit="1" customWidth="1"/>
    <col min="39" max="39" width="13.42578125" style="2" bestFit="1" customWidth="1"/>
    <col min="40" max="16384" width="9.140625" style="2"/>
  </cols>
  <sheetData>
    <row r="1" spans="1:39" ht="15" customHeight="1">
      <c r="B1" s="5"/>
      <c r="C1" s="389" t="s">
        <v>156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5"/>
    </row>
    <row r="2" spans="1:39" ht="15" customHeight="1">
      <c r="C2" s="390" t="s">
        <v>157</v>
      </c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5"/>
    </row>
    <row r="3" spans="1:39" ht="15" customHeight="1" thickBot="1"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5"/>
    </row>
    <row r="4" spans="1:39" ht="22.5" customHeight="1" thickBot="1">
      <c r="A4" s="381">
        <v>35</v>
      </c>
      <c r="B4" s="253"/>
      <c r="C4" s="382" t="s">
        <v>26</v>
      </c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83"/>
    </row>
    <row r="5" spans="1:39" ht="30" customHeight="1" thickBot="1">
      <c r="A5" s="381"/>
      <c r="B5" s="253"/>
      <c r="C5" s="384" t="s">
        <v>188</v>
      </c>
      <c r="D5" s="387" t="s">
        <v>189</v>
      </c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8"/>
    </row>
    <row r="6" spans="1:39" ht="6" customHeight="1">
      <c r="A6" s="381"/>
      <c r="B6" s="253"/>
      <c r="C6" s="385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266"/>
    </row>
    <row r="7" spans="1:39" s="25" customFormat="1" ht="82.5" customHeight="1" thickBot="1">
      <c r="A7" s="381"/>
      <c r="B7" s="253"/>
      <c r="C7" s="386"/>
      <c r="D7" s="282" t="s">
        <v>27</v>
      </c>
      <c r="E7" s="283" t="s">
        <v>1</v>
      </c>
      <c r="F7" s="283" t="s">
        <v>2</v>
      </c>
      <c r="G7" s="283" t="s">
        <v>3</v>
      </c>
      <c r="H7" s="283" t="s">
        <v>4</v>
      </c>
      <c r="I7" s="283" t="s">
        <v>5</v>
      </c>
      <c r="J7" s="283" t="s">
        <v>6</v>
      </c>
      <c r="K7" s="283" t="s">
        <v>7</v>
      </c>
      <c r="L7" s="283" t="s">
        <v>8</v>
      </c>
      <c r="M7" s="283" t="s">
        <v>9</v>
      </c>
      <c r="N7" s="283" t="s">
        <v>28</v>
      </c>
      <c r="O7" s="283" t="s">
        <v>11</v>
      </c>
      <c r="P7" s="283" t="s">
        <v>12</v>
      </c>
      <c r="Q7" s="283" t="s">
        <v>13</v>
      </c>
      <c r="R7" s="283" t="s">
        <v>14</v>
      </c>
      <c r="S7" s="283" t="s">
        <v>15</v>
      </c>
      <c r="T7" s="284" t="s">
        <v>16</v>
      </c>
      <c r="U7" s="2"/>
      <c r="V7" s="2"/>
      <c r="W7" s="23"/>
      <c r="X7" s="23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spans="1:39" s="25" customFormat="1" ht="27" customHeight="1">
      <c r="A8" s="381"/>
      <c r="B8" s="124"/>
      <c r="C8" s="276" t="s">
        <v>27</v>
      </c>
      <c r="D8" s="285">
        <f>SUM(E8:T8)</f>
        <v>78239.12315699998</v>
      </c>
      <c r="E8" s="285">
        <f>SUM(E9:E24)</f>
        <v>7782.4239939478903</v>
      </c>
      <c r="F8" s="285">
        <f t="shared" ref="F8:T8" si="0">SUM(F9:F24)</f>
        <v>5448.9539113734591</v>
      </c>
      <c r="G8" s="285">
        <f t="shared" si="0"/>
        <v>4726.2662043045048</v>
      </c>
      <c r="H8" s="285">
        <f t="shared" si="0"/>
        <v>5203.7529288522574</v>
      </c>
      <c r="I8" s="285">
        <f t="shared" si="0"/>
        <v>6075.3853167092884</v>
      </c>
      <c r="J8" s="285">
        <f t="shared" si="0"/>
        <v>9154.1829509617055</v>
      </c>
      <c r="K8" s="285">
        <f t="shared" si="0"/>
        <v>4002.9141983068876</v>
      </c>
      <c r="L8" s="285">
        <f t="shared" si="0"/>
        <v>7563.9453339247639</v>
      </c>
      <c r="M8" s="285">
        <f t="shared" si="0"/>
        <v>917.87290422608817</v>
      </c>
      <c r="N8" s="285">
        <f t="shared" si="0"/>
        <v>6770.4737903962068</v>
      </c>
      <c r="O8" s="285">
        <f t="shared" si="0"/>
        <v>4862.9397830786293</v>
      </c>
      <c r="P8" s="285">
        <f t="shared" si="0"/>
        <v>5127.1280004389691</v>
      </c>
      <c r="Q8" s="285">
        <f t="shared" si="0"/>
        <v>5180.053844652035</v>
      </c>
      <c r="R8" s="285">
        <f t="shared" si="0"/>
        <v>3925.6530275593132</v>
      </c>
      <c r="S8" s="285">
        <f t="shared" si="0"/>
        <v>326.67422916374579</v>
      </c>
      <c r="T8" s="286">
        <f t="shared" si="0"/>
        <v>1170.5027391042245</v>
      </c>
      <c r="U8" s="2"/>
      <c r="V8" s="2"/>
      <c r="W8" s="23"/>
      <c r="X8" s="23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s="22" customFormat="1" ht="27" customHeight="1">
      <c r="A9" s="381"/>
      <c r="B9" s="124"/>
      <c r="C9" s="277" t="s">
        <v>1</v>
      </c>
      <c r="D9" s="285">
        <f t="shared" ref="D9:D24" si="1">SUM(E9:T9)</f>
        <v>6364.0807820000018</v>
      </c>
      <c r="E9" s="287">
        <v>2497.4975217596011</v>
      </c>
      <c r="F9" s="287">
        <v>90.153873346168723</v>
      </c>
      <c r="G9" s="287">
        <v>364.00575081472084</v>
      </c>
      <c r="H9" s="287">
        <v>820.90408211376359</v>
      </c>
      <c r="I9" s="287">
        <v>303.92123455886417</v>
      </c>
      <c r="J9" s="287">
        <v>528.90483918270252</v>
      </c>
      <c r="K9" s="287">
        <v>85.378645449660539</v>
      </c>
      <c r="L9" s="287">
        <v>223.5355150245916</v>
      </c>
      <c r="M9" s="287">
        <v>30.885528291818847</v>
      </c>
      <c r="N9" s="287">
        <v>326.02857512045085</v>
      </c>
      <c r="O9" s="287">
        <v>209.10883508328854</v>
      </c>
      <c r="P9" s="287">
        <v>90.117059642420941</v>
      </c>
      <c r="Q9" s="287">
        <v>55.642163514001382</v>
      </c>
      <c r="R9" s="287">
        <v>671.26444262541906</v>
      </c>
      <c r="S9" s="287">
        <v>8.0035531657163563</v>
      </c>
      <c r="T9" s="288">
        <v>58.729162306812029</v>
      </c>
      <c r="U9" s="2"/>
      <c r="V9" s="2"/>
      <c r="W9" s="23"/>
      <c r="X9" s="23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s="22" customFormat="1" ht="27" customHeight="1">
      <c r="A10" s="381"/>
      <c r="B10" s="124"/>
      <c r="C10" s="277" t="s">
        <v>2</v>
      </c>
      <c r="D10" s="285">
        <f t="shared" si="1"/>
        <v>3705.7790159999981</v>
      </c>
      <c r="E10" s="287">
        <v>28.767059352432071</v>
      </c>
      <c r="F10" s="287">
        <v>1698.8776672446702</v>
      </c>
      <c r="G10" s="287">
        <v>68.757244757915373</v>
      </c>
      <c r="H10" s="287">
        <v>35.395895873269971</v>
      </c>
      <c r="I10" s="287">
        <v>58.764092868987525</v>
      </c>
      <c r="J10" s="287">
        <v>93.53512279478683</v>
      </c>
      <c r="K10" s="287">
        <v>262.93366889168993</v>
      </c>
      <c r="L10" s="287">
        <v>498.40296056516712</v>
      </c>
      <c r="M10" s="287">
        <v>197.44689976690611</v>
      </c>
      <c r="N10" s="287">
        <v>270.92092479839323</v>
      </c>
      <c r="O10" s="287">
        <v>174.26921718489356</v>
      </c>
      <c r="P10" s="287">
        <v>9.6422239933774136</v>
      </c>
      <c r="Q10" s="287">
        <v>3.1205211865932867</v>
      </c>
      <c r="R10" s="287">
        <v>254.52451163760739</v>
      </c>
      <c r="S10" s="287">
        <v>0.99857125330906671</v>
      </c>
      <c r="T10" s="288">
        <v>49.422433829999868</v>
      </c>
      <c r="U10" s="2"/>
      <c r="V10" s="2"/>
      <c r="W10" s="23"/>
      <c r="X10" s="23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s="22" customFormat="1" ht="27" customHeight="1">
      <c r="A11" s="381"/>
      <c r="B11" s="124"/>
      <c r="C11" s="277" t="s">
        <v>3</v>
      </c>
      <c r="D11" s="285">
        <f t="shared" si="1"/>
        <v>4049.564121999998</v>
      </c>
      <c r="E11" s="287">
        <v>37.691049999999997</v>
      </c>
      <c r="F11" s="287">
        <v>109.73108399999994</v>
      </c>
      <c r="G11" s="287">
        <v>1039.7548949999991</v>
      </c>
      <c r="H11" s="287">
        <v>699.54307100000017</v>
      </c>
      <c r="I11" s="287">
        <v>313.56666499999994</v>
      </c>
      <c r="J11" s="287">
        <v>139.21013999999994</v>
      </c>
      <c r="K11" s="287">
        <v>207.63099899999997</v>
      </c>
      <c r="L11" s="287">
        <v>226.24594300000001</v>
      </c>
      <c r="M11" s="287">
        <v>118.44424799999997</v>
      </c>
      <c r="N11" s="287">
        <v>245.41837799999996</v>
      </c>
      <c r="O11" s="287">
        <v>311.64871199999988</v>
      </c>
      <c r="P11" s="287">
        <v>19.047975999999995</v>
      </c>
      <c r="Q11" s="287">
        <v>14.459367999999998</v>
      </c>
      <c r="R11" s="287">
        <v>119.31500700000001</v>
      </c>
      <c r="S11" s="287">
        <v>78.601351999999991</v>
      </c>
      <c r="T11" s="288">
        <v>369.25523399999992</v>
      </c>
      <c r="U11" s="2"/>
      <c r="V11" s="2"/>
      <c r="W11" s="23"/>
      <c r="X11" s="23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s="22" customFormat="1" ht="27" customHeight="1">
      <c r="A12" s="381"/>
      <c r="B12" s="253"/>
      <c r="C12" s="277" t="s">
        <v>4</v>
      </c>
      <c r="D12" s="285">
        <f t="shared" si="1"/>
        <v>2868.8689579999937</v>
      </c>
      <c r="E12" s="287">
        <v>818.07877942859659</v>
      </c>
      <c r="F12" s="287">
        <v>39.570814302293371</v>
      </c>
      <c r="G12" s="287">
        <v>27.79569587905215</v>
      </c>
      <c r="H12" s="287">
        <v>198.41287793838947</v>
      </c>
      <c r="I12" s="287">
        <v>293.70287648992945</v>
      </c>
      <c r="J12" s="287">
        <v>230.96910572225394</v>
      </c>
      <c r="K12" s="287">
        <v>39.465200921050986</v>
      </c>
      <c r="L12" s="287">
        <v>297.28948972613705</v>
      </c>
      <c r="M12" s="287">
        <v>15.042811630736473</v>
      </c>
      <c r="N12" s="287">
        <v>564.65530337180064</v>
      </c>
      <c r="O12" s="287">
        <v>133.44288399775917</v>
      </c>
      <c r="P12" s="287">
        <v>25.136647380448348</v>
      </c>
      <c r="Q12" s="287">
        <v>7.4974266704570285</v>
      </c>
      <c r="R12" s="287">
        <v>159.7964929717352</v>
      </c>
      <c r="S12" s="287">
        <v>9.6849249645533728</v>
      </c>
      <c r="T12" s="288">
        <v>8.3276266048005905</v>
      </c>
      <c r="U12" s="2"/>
      <c r="V12" s="2"/>
      <c r="W12" s="23"/>
      <c r="X12" s="23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s="22" customFormat="1" ht="27" customHeight="1">
      <c r="A13" s="381"/>
      <c r="B13" s="253"/>
      <c r="C13" s="277" t="s">
        <v>5</v>
      </c>
      <c r="D13" s="285">
        <f t="shared" si="1"/>
        <v>5025.5282289999986</v>
      </c>
      <c r="E13" s="287">
        <v>279.27475947389684</v>
      </c>
      <c r="F13" s="287">
        <v>201.07782822653439</v>
      </c>
      <c r="G13" s="287">
        <v>106.09327013197574</v>
      </c>
      <c r="H13" s="287">
        <v>228.52287192976513</v>
      </c>
      <c r="I13" s="287">
        <v>2371.9270534168204</v>
      </c>
      <c r="J13" s="287">
        <v>178.06783094230266</v>
      </c>
      <c r="K13" s="287">
        <v>140.77369130321958</v>
      </c>
      <c r="L13" s="287">
        <v>711.61004739962425</v>
      </c>
      <c r="M13" s="287">
        <v>100.8351317853873</v>
      </c>
      <c r="N13" s="287">
        <v>391.71246387380808</v>
      </c>
      <c r="O13" s="287">
        <v>119.049784503791</v>
      </c>
      <c r="P13" s="287">
        <v>4.7472662667615948</v>
      </c>
      <c r="Q13" s="287">
        <v>25.847687990308</v>
      </c>
      <c r="R13" s="287">
        <v>159.96570489262606</v>
      </c>
      <c r="S13" s="287">
        <v>1.0038061438628307</v>
      </c>
      <c r="T13" s="288">
        <v>5.019030719314153</v>
      </c>
      <c r="U13" s="2"/>
      <c r="V13" s="2"/>
      <c r="W13" s="23"/>
      <c r="X13" s="23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 s="22" customFormat="1" ht="27" customHeight="1">
      <c r="A14" s="381"/>
      <c r="B14" s="124"/>
      <c r="C14" s="277" t="s">
        <v>6</v>
      </c>
      <c r="D14" s="285">
        <f t="shared" si="1"/>
        <v>5609.447791999999</v>
      </c>
      <c r="E14" s="287">
        <v>657.65356184743905</v>
      </c>
      <c r="F14" s="289">
        <v>93.757138695022661</v>
      </c>
      <c r="G14" s="287">
        <v>373.71384139151223</v>
      </c>
      <c r="H14" s="287">
        <v>140.07953903494504</v>
      </c>
      <c r="I14" s="287">
        <v>121.17252018347112</v>
      </c>
      <c r="J14" s="287">
        <v>2310.5488623374986</v>
      </c>
      <c r="K14" s="287">
        <v>76.305583878865775</v>
      </c>
      <c r="L14" s="287">
        <v>132.28487120928628</v>
      </c>
      <c r="M14" s="287">
        <v>34.894321880215386</v>
      </c>
      <c r="N14" s="287">
        <v>342.80992315996787</v>
      </c>
      <c r="O14" s="287">
        <v>437.86199451669972</v>
      </c>
      <c r="P14" s="287">
        <v>74.825331172477036</v>
      </c>
      <c r="Q14" s="287">
        <v>9.5839067729516927</v>
      </c>
      <c r="R14" s="287">
        <v>730.33019474339062</v>
      </c>
      <c r="S14" s="287">
        <v>5.1384178687168047</v>
      </c>
      <c r="T14" s="288">
        <v>68.487783307539289</v>
      </c>
      <c r="U14" s="2"/>
      <c r="V14" s="2"/>
      <c r="W14" s="23"/>
      <c r="X14" s="23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s="22" customFormat="1" ht="27" customHeight="1">
      <c r="A15" s="381"/>
      <c r="B15" s="253"/>
      <c r="C15" s="277" t="s">
        <v>7</v>
      </c>
      <c r="D15" s="285">
        <f t="shared" si="1"/>
        <v>3117.7606660000015</v>
      </c>
      <c r="E15" s="287">
        <v>208.51871300000013</v>
      </c>
      <c r="F15" s="289">
        <v>606.25948700000004</v>
      </c>
      <c r="G15" s="287">
        <v>63.707842000000042</v>
      </c>
      <c r="H15" s="287">
        <v>41.303262000000025</v>
      </c>
      <c r="I15" s="287">
        <v>47.129890000000039</v>
      </c>
      <c r="J15" s="287">
        <v>191.54696000000013</v>
      </c>
      <c r="K15" s="287">
        <v>1021.669827000001</v>
      </c>
      <c r="L15" s="287">
        <v>431.56108000000052</v>
      </c>
      <c r="M15" s="287">
        <v>71.119804000000059</v>
      </c>
      <c r="N15" s="287">
        <v>221.24735800000019</v>
      </c>
      <c r="O15" s="287">
        <v>27.692715000000025</v>
      </c>
      <c r="P15" s="287">
        <v>8.434520000000008</v>
      </c>
      <c r="Q15" s="287">
        <v>41.745454000000038</v>
      </c>
      <c r="R15" s="287">
        <v>75.843145000000064</v>
      </c>
      <c r="S15" s="287">
        <v>49.543119000000047</v>
      </c>
      <c r="T15" s="288">
        <v>10.437490000000007</v>
      </c>
      <c r="U15" s="2"/>
      <c r="V15" s="2"/>
      <c r="W15" s="23"/>
      <c r="X15" s="23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s="22" customFormat="1" ht="27" customHeight="1">
      <c r="A16" s="381"/>
      <c r="B16" s="124"/>
      <c r="C16" s="277" t="s">
        <v>8</v>
      </c>
      <c r="D16" s="285">
        <f t="shared" si="1"/>
        <v>6021.5545350000039</v>
      </c>
      <c r="E16" s="287">
        <v>233.41027268933087</v>
      </c>
      <c r="F16" s="289">
        <v>815.94253515505375</v>
      </c>
      <c r="G16" s="287">
        <v>190.70843980301279</v>
      </c>
      <c r="H16" s="287">
        <v>115.47490658475731</v>
      </c>
      <c r="I16" s="287">
        <v>106.03790212586387</v>
      </c>
      <c r="J16" s="287">
        <v>813.41956182035631</v>
      </c>
      <c r="K16" s="287">
        <v>837.43219372832527</v>
      </c>
      <c r="L16" s="287">
        <v>1267.6679951455465</v>
      </c>
      <c r="M16" s="287">
        <v>76.744616895721961</v>
      </c>
      <c r="N16" s="287">
        <v>627.22185636279085</v>
      </c>
      <c r="O16" s="287">
        <v>26.198527570564838</v>
      </c>
      <c r="P16" s="287">
        <v>11.201060800531229</v>
      </c>
      <c r="Q16" s="287">
        <v>93.519409750953301</v>
      </c>
      <c r="R16" s="287">
        <v>765.4213072346613</v>
      </c>
      <c r="S16" s="287">
        <v>13.92652440524448</v>
      </c>
      <c r="T16" s="288">
        <v>27.227424927288901</v>
      </c>
      <c r="U16" s="2"/>
      <c r="V16" s="2"/>
      <c r="W16" s="23"/>
      <c r="X16" s="23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s="22" customFormat="1" ht="27" customHeight="1">
      <c r="A17" s="381"/>
      <c r="B17" s="253"/>
      <c r="C17" s="277" t="s">
        <v>9</v>
      </c>
      <c r="D17" s="285">
        <f t="shared" si="1"/>
        <v>520.09356600000012</v>
      </c>
      <c r="E17" s="287">
        <v>11.197782000000004</v>
      </c>
      <c r="F17" s="289">
        <v>167.63798400000007</v>
      </c>
      <c r="G17" s="287">
        <v>36.418118000000007</v>
      </c>
      <c r="H17" s="287">
        <v>8.6842840000000034</v>
      </c>
      <c r="I17" s="287">
        <v>16.623359000000008</v>
      </c>
      <c r="J17" s="287">
        <v>7.4695590000000021</v>
      </c>
      <c r="K17" s="287">
        <v>59.796398000000003</v>
      </c>
      <c r="L17" s="287">
        <v>70.751347999999993</v>
      </c>
      <c r="M17" s="287">
        <v>52.200654000000014</v>
      </c>
      <c r="N17" s="287">
        <v>29.531255000000012</v>
      </c>
      <c r="O17" s="287">
        <v>20.998096000000007</v>
      </c>
      <c r="P17" s="287">
        <v>2.020909000000001</v>
      </c>
      <c r="Q17" s="287">
        <v>1.0000000000000004</v>
      </c>
      <c r="R17" s="287">
        <v>30.699694000000008</v>
      </c>
      <c r="S17" s="287">
        <v>1.0000000000000004</v>
      </c>
      <c r="T17" s="288">
        <v>4.0641260000000017</v>
      </c>
      <c r="U17" s="2"/>
      <c r="V17" s="2"/>
      <c r="W17" s="23"/>
      <c r="X17" s="23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s="22" customFormat="1" ht="27" customHeight="1">
      <c r="A18" s="381"/>
      <c r="B18" s="253"/>
      <c r="C18" s="277" t="s">
        <v>10</v>
      </c>
      <c r="D18" s="285">
        <f t="shared" si="1"/>
        <v>19748.708517999978</v>
      </c>
      <c r="E18" s="287">
        <v>1725.6484729999981</v>
      </c>
      <c r="F18" s="289">
        <v>1141.4469519999991</v>
      </c>
      <c r="G18" s="287">
        <v>1500.4286919999984</v>
      </c>
      <c r="H18" s="287">
        <v>2052.0016679999976</v>
      </c>
      <c r="I18" s="287">
        <v>1192.5007379999993</v>
      </c>
      <c r="J18" s="287">
        <v>2448.2686429999972</v>
      </c>
      <c r="K18" s="287">
        <v>1001.2555009999988</v>
      </c>
      <c r="L18" s="287">
        <v>2603.6064959999967</v>
      </c>
      <c r="M18" s="287">
        <v>161.38885999999988</v>
      </c>
      <c r="N18" s="287">
        <v>2715.8934679999948</v>
      </c>
      <c r="O18" s="287">
        <v>875.54856099999927</v>
      </c>
      <c r="P18" s="287">
        <v>850.46639199999947</v>
      </c>
      <c r="Q18" s="287">
        <v>918.96424599999921</v>
      </c>
      <c r="R18" s="287">
        <v>178.11938099999986</v>
      </c>
      <c r="S18" s="287">
        <v>40.263477999999957</v>
      </c>
      <c r="T18" s="288">
        <v>342.90696899999972</v>
      </c>
      <c r="U18" s="2"/>
      <c r="V18" s="2"/>
      <c r="W18" s="23"/>
      <c r="X18" s="23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s="22" customFormat="1" ht="27" customHeight="1">
      <c r="A19" s="381"/>
      <c r="B19" s="124"/>
      <c r="C19" s="277" t="s">
        <v>11</v>
      </c>
      <c r="D19" s="285">
        <f t="shared" si="1"/>
        <v>4479.103284999992</v>
      </c>
      <c r="E19" s="287">
        <v>70.656816234756121</v>
      </c>
      <c r="F19" s="287">
        <v>35.79421117413829</v>
      </c>
      <c r="G19" s="287">
        <v>623.75689402543833</v>
      </c>
      <c r="H19" s="287">
        <v>261.38272531998246</v>
      </c>
      <c r="I19" s="287">
        <v>88.905049048691978</v>
      </c>
      <c r="J19" s="287">
        <v>312.874004436593</v>
      </c>
      <c r="K19" s="287">
        <v>30.103417409495769</v>
      </c>
      <c r="L19" s="287">
        <v>90.121166357187164</v>
      </c>
      <c r="M19" s="287">
        <v>40.846355662520473</v>
      </c>
      <c r="N19" s="287">
        <v>292.43990636377231</v>
      </c>
      <c r="O19" s="287">
        <v>2158.527067962787</v>
      </c>
      <c r="P19" s="287">
        <v>20.065674234763581</v>
      </c>
      <c r="Q19" s="287">
        <v>18.747929302687876</v>
      </c>
      <c r="R19" s="287">
        <v>307.09556581346078</v>
      </c>
      <c r="S19" s="287">
        <v>1.003283711738179</v>
      </c>
      <c r="T19" s="288">
        <v>126.783217941979</v>
      </c>
      <c r="U19" s="2"/>
      <c r="V19" s="2"/>
      <c r="W19" s="23"/>
      <c r="X19" s="23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s="22" customFormat="1" ht="26.25" customHeight="1">
      <c r="A20" s="381"/>
      <c r="B20" s="253"/>
      <c r="C20" s="277" t="s">
        <v>12</v>
      </c>
      <c r="D20" s="285">
        <f t="shared" si="1"/>
        <v>3857.0324949999995</v>
      </c>
      <c r="E20" s="287">
        <v>79.836464187907865</v>
      </c>
      <c r="F20" s="287">
        <v>63.03215407948705</v>
      </c>
      <c r="G20" s="287">
        <v>25.406830188531018</v>
      </c>
      <c r="H20" s="287">
        <v>1.0012944434439848</v>
      </c>
      <c r="I20" s="287">
        <v>1.0012944434439848</v>
      </c>
      <c r="J20" s="287">
        <v>31.289199739570211</v>
      </c>
      <c r="K20" s="287">
        <v>40.668330799076685</v>
      </c>
      <c r="L20" s="287">
        <v>3.9272049728760687</v>
      </c>
      <c r="M20" s="287">
        <v>7.7582346131648992</v>
      </c>
      <c r="N20" s="287">
        <v>13.63507701887629</v>
      </c>
      <c r="O20" s="287">
        <v>8.72712216194682</v>
      </c>
      <c r="P20" s="287">
        <v>3439.2155577870903</v>
      </c>
      <c r="Q20" s="287">
        <v>25.364843909928521</v>
      </c>
      <c r="R20" s="287">
        <v>70.036969695154752</v>
      </c>
      <c r="S20" s="287">
        <v>36.045074992546084</v>
      </c>
      <c r="T20" s="288">
        <v>10.0868419669549</v>
      </c>
      <c r="U20" s="2"/>
      <c r="V20" s="2"/>
      <c r="W20" s="23"/>
      <c r="X20" s="23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s="22" customFormat="1" ht="27" customHeight="1">
      <c r="A21" s="381"/>
      <c r="B21" s="253"/>
      <c r="C21" s="277" t="s">
        <v>13</v>
      </c>
      <c r="D21" s="285">
        <f t="shared" si="1"/>
        <v>4805.4706570000017</v>
      </c>
      <c r="E21" s="287">
        <v>130.96755677962156</v>
      </c>
      <c r="F21" s="287">
        <v>69.96374426250776</v>
      </c>
      <c r="G21" s="287">
        <v>31.779107042531358</v>
      </c>
      <c r="H21" s="287">
        <v>25.739806654570945</v>
      </c>
      <c r="I21" s="287">
        <v>14.784368743705585</v>
      </c>
      <c r="J21" s="287">
        <v>18.200737770207198</v>
      </c>
      <c r="K21" s="287">
        <v>13.995415467878557</v>
      </c>
      <c r="L21" s="287">
        <v>15.036061968640896</v>
      </c>
      <c r="M21" s="287">
        <v>1.6244377190222117</v>
      </c>
      <c r="N21" s="287">
        <v>48.968866734803896</v>
      </c>
      <c r="O21" s="287">
        <v>1.3536980991851764</v>
      </c>
      <c r="P21" s="287">
        <v>299.48283541074079</v>
      </c>
      <c r="Q21" s="287">
        <v>3787.7301631604846</v>
      </c>
      <c r="R21" s="287">
        <v>277.38257245382823</v>
      </c>
      <c r="S21" s="287">
        <v>23.442601470740012</v>
      </c>
      <c r="T21" s="288">
        <v>45.018683261532402</v>
      </c>
      <c r="U21" s="2"/>
      <c r="V21" s="2"/>
      <c r="W21" s="23"/>
      <c r="X21" s="23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s="22" customFormat="1" ht="27" customHeight="1">
      <c r="A22" s="381"/>
      <c r="B22" s="124"/>
      <c r="C22" s="277" t="s">
        <v>14</v>
      </c>
      <c r="D22" s="285">
        <f t="shared" si="1"/>
        <v>7397.6910720000024</v>
      </c>
      <c r="E22" s="287">
        <v>933.18325765520456</v>
      </c>
      <c r="F22" s="287">
        <v>260.43862560804166</v>
      </c>
      <c r="G22" s="287">
        <v>242.49361911581047</v>
      </c>
      <c r="H22" s="287">
        <v>514.46266051610826</v>
      </c>
      <c r="I22" s="287">
        <v>1099.5422498140213</v>
      </c>
      <c r="J22" s="287">
        <v>1800.2312880443121</v>
      </c>
      <c r="K22" s="287">
        <v>169.14488766955617</v>
      </c>
      <c r="L22" s="287">
        <v>940.79273460412435</v>
      </c>
      <c r="M22" s="287">
        <v>1.9899879072910105</v>
      </c>
      <c r="N22" s="287">
        <v>641.98192738020089</v>
      </c>
      <c r="O22" s="287">
        <v>343.22633237076553</v>
      </c>
      <c r="P22" s="287">
        <v>114.33896304283496</v>
      </c>
      <c r="Q22" s="287">
        <v>154.51657412252789</v>
      </c>
      <c r="R22" s="287">
        <v>109.59743875601177</v>
      </c>
      <c r="S22" s="287">
        <v>35.118601137158628</v>
      </c>
      <c r="T22" s="288">
        <v>36.63192425603436</v>
      </c>
      <c r="U22" s="2"/>
      <c r="V22" s="2"/>
      <c r="W22" s="23"/>
      <c r="X22" s="23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s="22" customFormat="1" ht="27" customHeight="1">
      <c r="A23" s="381"/>
      <c r="B23" s="124"/>
      <c r="C23" s="277" t="s">
        <v>15</v>
      </c>
      <c r="D23" s="285">
        <f t="shared" si="1"/>
        <v>240.32062500000004</v>
      </c>
      <c r="E23" s="287">
        <v>11.024384539105519</v>
      </c>
      <c r="F23" s="287">
        <v>1.0055912795415556</v>
      </c>
      <c r="G23" s="287">
        <v>1.0828961540071336</v>
      </c>
      <c r="H23" s="287">
        <v>2.8193654432632194</v>
      </c>
      <c r="I23" s="287">
        <v>2.9244210154898793</v>
      </c>
      <c r="J23" s="287">
        <v>1.5642321711261191</v>
      </c>
      <c r="K23" s="287">
        <v>7.6994177880688834</v>
      </c>
      <c r="L23" s="287">
        <v>6.2709789515855352</v>
      </c>
      <c r="M23" s="287">
        <v>0.29221007330351229</v>
      </c>
      <c r="N23" s="287">
        <v>4.3575622113467416</v>
      </c>
      <c r="O23" s="287">
        <v>1.6100946269489902</v>
      </c>
      <c r="P23" s="287">
        <v>145.98566170752451</v>
      </c>
      <c r="Q23" s="287">
        <v>18.581010271141032</v>
      </c>
      <c r="R23" s="287">
        <v>7.8566737354181564</v>
      </c>
      <c r="S23" s="287">
        <v>21.241832050159992</v>
      </c>
      <c r="T23" s="288">
        <v>6.0042929819692539</v>
      </c>
      <c r="U23" s="2"/>
      <c r="V23" s="2"/>
      <c r="W23" s="23"/>
      <c r="X23" s="23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s="22" customFormat="1" ht="27" customHeight="1" thickBot="1">
      <c r="A24" s="381"/>
      <c r="B24" s="253"/>
      <c r="C24" s="278" t="s">
        <v>16</v>
      </c>
      <c r="D24" s="290">
        <f t="shared" si="1"/>
        <v>428.11883900000038</v>
      </c>
      <c r="E24" s="291">
        <v>59.017542000000056</v>
      </c>
      <c r="F24" s="291">
        <v>54.264221000000013</v>
      </c>
      <c r="G24" s="291">
        <v>30.36306800000002</v>
      </c>
      <c r="H24" s="291">
        <v>58.024618000000054</v>
      </c>
      <c r="I24" s="291">
        <v>42.881602000000029</v>
      </c>
      <c r="J24" s="291">
        <v>48.082864000000036</v>
      </c>
      <c r="K24" s="291">
        <v>8.6610200000000059</v>
      </c>
      <c r="L24" s="291">
        <v>44.84144100000001</v>
      </c>
      <c r="M24" s="291">
        <v>6.3588020000000043</v>
      </c>
      <c r="N24" s="291">
        <v>33.650945000000029</v>
      </c>
      <c r="O24" s="291">
        <v>13.676141000000012</v>
      </c>
      <c r="P24" s="291">
        <v>12.399922000000011</v>
      </c>
      <c r="Q24" s="291">
        <v>3.7331400000000028</v>
      </c>
      <c r="R24" s="291">
        <v>8.4039260000000073</v>
      </c>
      <c r="S24" s="291">
        <v>1.6590890000000014</v>
      </c>
      <c r="T24" s="292">
        <v>2.1004980000000013</v>
      </c>
      <c r="U24" s="2"/>
      <c r="V24" s="2"/>
      <c r="W24" s="2"/>
      <c r="X24" s="2"/>
    </row>
    <row r="25" spans="1:39" s="22" customFormat="1" ht="20.100000000000001" customHeight="1">
      <c r="A25" s="11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"/>
      <c r="V25" s="2"/>
      <c r="W25" s="2"/>
      <c r="X25" s="2"/>
    </row>
    <row r="26" spans="1:39"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39"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39">
      <c r="E28" s="16"/>
      <c r="F28" s="16"/>
      <c r="G28" s="16"/>
      <c r="H28" s="16"/>
      <c r="I28" s="16" t="s">
        <v>29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33" spans="13:13">
      <c r="M33" s="122"/>
    </row>
  </sheetData>
  <sheetProtection algorithmName="SHA-512" hashValue="pYPz7FdSBQ17NSMaUnT+dYNjUvIe7FsdIRIFAE7vBwPBe843Hixd6rgDxGWqSwoBR1ydiQa2Swu7JA7w0NiYmg==" saltValue="hBRz8z++0tzqRFc+8RIZ0w==" spinCount="100000" sheet="1" objects="1" scenarios="1"/>
  <mergeCells count="6">
    <mergeCell ref="A4:A24"/>
    <mergeCell ref="C4:T4"/>
    <mergeCell ref="C5:C7"/>
    <mergeCell ref="D5:T5"/>
    <mergeCell ref="C1:T1"/>
    <mergeCell ref="C2:T2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5"/>
  <sheetViews>
    <sheetView view="pageBreakPreview" zoomScaleNormal="100" zoomScaleSheetLayoutView="100" workbookViewId="0">
      <selection activeCell="G12" sqref="G12"/>
    </sheetView>
  </sheetViews>
  <sheetFormatPr defaultRowHeight="16.5"/>
  <cols>
    <col min="1" max="1" width="22.42578125" style="39" customWidth="1"/>
    <col min="2" max="4" width="12.140625" style="39" customWidth="1"/>
    <col min="5" max="5" width="1.42578125" style="39" customWidth="1"/>
    <col min="6" max="8" width="12.140625" style="39" customWidth="1"/>
    <col min="9" max="16384" width="9.140625" style="39"/>
  </cols>
  <sheetData>
    <row r="1" spans="1:9" ht="15" customHeight="1">
      <c r="A1" s="393" t="s">
        <v>158</v>
      </c>
      <c r="B1" s="393"/>
      <c r="C1" s="393"/>
      <c r="D1" s="393"/>
      <c r="E1" s="393"/>
      <c r="F1" s="393"/>
      <c r="G1" s="393"/>
      <c r="H1" s="393"/>
    </row>
    <row r="2" spans="1:9" ht="15" customHeight="1">
      <c r="A2" s="335" t="s">
        <v>159</v>
      </c>
      <c r="B2" s="335"/>
      <c r="C2" s="335"/>
      <c r="D2" s="335"/>
      <c r="E2" s="335"/>
      <c r="F2" s="335"/>
      <c r="G2" s="335"/>
      <c r="H2" s="335"/>
    </row>
    <row r="3" spans="1:9" ht="17.25" thickBot="1">
      <c r="A3" s="125"/>
      <c r="B3" s="136"/>
      <c r="C3" s="136"/>
      <c r="D3" s="136"/>
      <c r="E3" s="136"/>
      <c r="F3" s="136"/>
      <c r="G3" s="136"/>
      <c r="H3" s="136"/>
    </row>
    <row r="4" spans="1:9" ht="17.25" thickBot="1">
      <c r="A4" s="328" t="s">
        <v>190</v>
      </c>
      <c r="B4" s="330">
        <v>2017</v>
      </c>
      <c r="C4" s="330"/>
      <c r="D4" s="330"/>
      <c r="E4" s="150"/>
      <c r="F4" s="327">
        <v>2018</v>
      </c>
      <c r="G4" s="327"/>
      <c r="H4" s="327"/>
    </row>
    <row r="5" spans="1:9" ht="30" customHeight="1">
      <c r="A5" s="328"/>
      <c r="B5" s="330" t="s">
        <v>191</v>
      </c>
      <c r="C5" s="330" t="s">
        <v>192</v>
      </c>
      <c r="D5" s="330" t="s">
        <v>193</v>
      </c>
      <c r="E5" s="394"/>
      <c r="F5" s="328" t="s">
        <v>191</v>
      </c>
      <c r="G5" s="328" t="s">
        <v>192</v>
      </c>
      <c r="H5" s="328" t="s">
        <v>193</v>
      </c>
    </row>
    <row r="6" spans="1:9" ht="15" customHeight="1">
      <c r="A6" s="328"/>
      <c r="B6" s="328"/>
      <c r="C6" s="328"/>
      <c r="D6" s="328"/>
      <c r="E6" s="394"/>
      <c r="F6" s="328"/>
      <c r="G6" s="328"/>
      <c r="H6" s="328"/>
    </row>
    <row r="7" spans="1:9" ht="15" customHeight="1" thickBot="1">
      <c r="A7" s="328"/>
      <c r="B7" s="328" t="s">
        <v>17</v>
      </c>
      <c r="C7" s="328"/>
      <c r="D7" s="328"/>
      <c r="E7" s="188"/>
      <c r="F7" s="329" t="s">
        <v>17</v>
      </c>
      <c r="G7" s="329"/>
      <c r="H7" s="329"/>
    </row>
    <row r="8" spans="1:9" s="83" customFormat="1" ht="15" customHeight="1">
      <c r="A8" s="179"/>
      <c r="B8" s="179"/>
      <c r="C8" s="179"/>
      <c r="D8" s="179"/>
      <c r="E8" s="189"/>
      <c r="F8" s="78"/>
      <c r="G8" s="78"/>
      <c r="H8" s="78"/>
    </row>
    <row r="9" spans="1:9" ht="22.5" customHeight="1">
      <c r="A9" s="63" t="s">
        <v>67</v>
      </c>
      <c r="B9" s="238">
        <f>SUM(B10:B12)</f>
        <v>100.04705477736404</v>
      </c>
      <c r="C9" s="238">
        <f t="shared" ref="C9:D9" si="0">SUM(C10:C12)</f>
        <v>100</v>
      </c>
      <c r="D9" s="238">
        <f t="shared" si="0"/>
        <v>100</v>
      </c>
      <c r="E9" s="239"/>
      <c r="F9" s="238">
        <f t="shared" ref="F9:H9" si="1">SUM(F10:F12)</f>
        <v>100.00000000000004</v>
      </c>
      <c r="G9" s="238">
        <f t="shared" si="1"/>
        <v>99.999999999999986</v>
      </c>
      <c r="H9" s="238">
        <f t="shared" si="1"/>
        <v>99.999999999999972</v>
      </c>
    </row>
    <row r="10" spans="1:9" ht="26.25" customHeight="1">
      <c r="A10" s="80" t="s">
        <v>68</v>
      </c>
      <c r="B10" s="235">
        <v>1.2673766172599483</v>
      </c>
      <c r="C10" s="235">
        <v>0.13775698681385845</v>
      </c>
      <c r="D10" s="235">
        <v>3.7787947632469101</v>
      </c>
      <c r="E10" s="240"/>
      <c r="F10" s="235">
        <v>1.1867842626932401</v>
      </c>
      <c r="G10" s="235">
        <v>2.3713455192484065E-2</v>
      </c>
      <c r="H10" s="235">
        <v>4.07384568037984</v>
      </c>
      <c r="I10" s="64"/>
    </row>
    <row r="11" spans="1:9" ht="26.25" customHeight="1">
      <c r="A11" s="80" t="s">
        <v>69</v>
      </c>
      <c r="B11" s="235">
        <v>1.2</v>
      </c>
      <c r="C11" s="235">
        <v>0.65798424817124945</v>
      </c>
      <c r="D11" s="235">
        <v>2.2533633982081613</v>
      </c>
      <c r="E11" s="240"/>
      <c r="F11" s="235">
        <v>0.56913364358210095</v>
      </c>
      <c r="G11" s="235">
        <v>0.22481865637329901</v>
      </c>
      <c r="H11" s="235">
        <v>1.34138414360194</v>
      </c>
      <c r="I11" s="64"/>
    </row>
    <row r="12" spans="1:9" ht="26.25" customHeight="1">
      <c r="A12" s="80" t="s">
        <v>70</v>
      </c>
      <c r="B12" s="235">
        <v>97.579678160104095</v>
      </c>
      <c r="C12" s="235">
        <v>99.204258765014899</v>
      </c>
      <c r="D12" s="235">
        <v>93.967841838544928</v>
      </c>
      <c r="E12" s="240"/>
      <c r="F12" s="235">
        <v>98.2440820937247</v>
      </c>
      <c r="G12" s="235">
        <v>99.751467888434206</v>
      </c>
      <c r="H12" s="235">
        <v>94.584770176018196</v>
      </c>
      <c r="I12" s="64"/>
    </row>
    <row r="13" spans="1:9" ht="52.5" customHeight="1">
      <c r="A13" s="81" t="s">
        <v>71</v>
      </c>
      <c r="B13" s="236">
        <v>90.7</v>
      </c>
      <c r="C13" s="236">
        <v>92.5</v>
      </c>
      <c r="D13" s="236">
        <v>86.3</v>
      </c>
      <c r="E13" s="241"/>
      <c r="F13" s="236">
        <v>94.952980516499778</v>
      </c>
      <c r="G13" s="236">
        <v>94.847484288487493</v>
      </c>
      <c r="H13" s="236">
        <v>95.20211259788482</v>
      </c>
      <c r="I13" s="64"/>
    </row>
    <row r="14" spans="1:9" ht="26.25" customHeight="1">
      <c r="A14" s="81" t="s">
        <v>72</v>
      </c>
      <c r="B14" s="236">
        <v>4.9000000000000004</v>
      </c>
      <c r="C14" s="236">
        <v>4.0590663210905502</v>
      </c>
      <c r="D14" s="236">
        <v>6.7</v>
      </c>
      <c r="E14" s="241"/>
      <c r="F14" s="236">
        <v>2.7325111618908133</v>
      </c>
      <c r="G14" s="236">
        <v>2.3758595032536998</v>
      </c>
      <c r="H14" s="236">
        <v>3.6629496922402098</v>
      </c>
      <c r="I14" s="64"/>
    </row>
    <row r="15" spans="1:9" ht="26.25" customHeight="1">
      <c r="A15" s="81" t="s">
        <v>73</v>
      </c>
      <c r="B15" s="236">
        <v>3.1</v>
      </c>
      <c r="C15" s="236">
        <v>2.6265684282539565</v>
      </c>
      <c r="D15" s="236">
        <v>4.3</v>
      </c>
      <c r="E15" s="241"/>
      <c r="F15" s="236">
        <v>2.0219452222344247</v>
      </c>
      <c r="G15" s="236">
        <v>2.58046216162733</v>
      </c>
      <c r="H15" s="236">
        <v>0.59096549004772569</v>
      </c>
      <c r="I15" s="64"/>
    </row>
    <row r="16" spans="1:9" ht="26.25" customHeight="1">
      <c r="A16" s="81" t="s">
        <v>74</v>
      </c>
      <c r="B16" s="237">
        <v>1.3094945604634467</v>
      </c>
      <c r="C16" s="237">
        <v>0.8</v>
      </c>
      <c r="D16" s="237">
        <v>2.7</v>
      </c>
      <c r="E16" s="242"/>
      <c r="F16" s="236">
        <v>0.26794290031177082</v>
      </c>
      <c r="G16" s="236">
        <v>0.16862496831833687</v>
      </c>
      <c r="H16" s="236">
        <v>0.52704510394216697</v>
      </c>
      <c r="I16" s="64"/>
    </row>
    <row r="17" spans="1:9" ht="15" customHeight="1" thickBot="1">
      <c r="A17" s="190"/>
      <c r="B17" s="190"/>
      <c r="C17" s="190"/>
      <c r="D17" s="192"/>
      <c r="E17" s="65"/>
      <c r="F17" s="190"/>
      <c r="G17" s="190"/>
      <c r="H17" s="190"/>
    </row>
    <row r="18" spans="1:9" ht="15" customHeight="1">
      <c r="A18" s="191"/>
      <c r="B18" s="191"/>
      <c r="C18" s="191"/>
      <c r="D18" s="66"/>
      <c r="E18" s="66"/>
      <c r="F18" s="191"/>
      <c r="G18" s="191"/>
      <c r="H18" s="191"/>
    </row>
    <row r="19" spans="1:9" ht="15" customHeight="1">
      <c r="A19" s="66"/>
      <c r="B19" s="66"/>
      <c r="C19" s="66"/>
      <c r="D19" s="66"/>
      <c r="E19" s="66"/>
      <c r="F19" s="66"/>
      <c r="G19" s="66"/>
      <c r="H19" s="66"/>
    </row>
    <row r="20" spans="1:9" ht="15" customHeight="1">
      <c r="A20" s="193"/>
      <c r="B20" s="193"/>
      <c r="C20" s="193"/>
      <c r="D20" s="193"/>
      <c r="E20" s="193"/>
      <c r="F20" s="193"/>
      <c r="G20" s="193"/>
      <c r="H20" s="193"/>
    </row>
    <row r="21" spans="1:9" ht="15" customHeight="1">
      <c r="A21" s="393" t="s">
        <v>160</v>
      </c>
      <c r="B21" s="393"/>
      <c r="C21" s="393"/>
      <c r="D21" s="393"/>
      <c r="E21" s="393"/>
      <c r="F21" s="393"/>
      <c r="G21" s="393"/>
      <c r="H21" s="393"/>
    </row>
    <row r="22" spans="1:9" ht="15" customHeight="1">
      <c r="A22" s="335" t="s">
        <v>161</v>
      </c>
      <c r="B22" s="335"/>
      <c r="C22" s="335"/>
      <c r="D22" s="335"/>
      <c r="E22" s="335"/>
      <c r="F22" s="335"/>
      <c r="G22" s="335"/>
      <c r="H22" s="335"/>
    </row>
    <row r="23" spans="1:9" ht="15" customHeight="1" thickBot="1">
      <c r="A23" s="135"/>
      <c r="B23" s="135"/>
      <c r="C23" s="135"/>
      <c r="D23" s="136"/>
      <c r="E23" s="136"/>
      <c r="F23" s="194"/>
      <c r="G23" s="193"/>
    </row>
    <row r="24" spans="1:9" ht="45" customHeight="1" thickBot="1">
      <c r="A24" s="330" t="s">
        <v>194</v>
      </c>
      <c r="B24" s="330"/>
      <c r="C24" s="330"/>
      <c r="D24" s="330"/>
      <c r="E24" s="330"/>
      <c r="F24" s="195"/>
      <c r="G24" s="330" t="s">
        <v>195</v>
      </c>
      <c r="H24" s="330"/>
    </row>
    <row r="25" spans="1:9" ht="18.75" customHeight="1" thickBot="1">
      <c r="A25" s="329"/>
      <c r="B25" s="329"/>
      <c r="C25" s="329"/>
      <c r="D25" s="329"/>
      <c r="E25" s="329"/>
      <c r="F25" s="195"/>
      <c r="G25" s="196">
        <v>2017</v>
      </c>
      <c r="H25" s="196">
        <v>2018</v>
      </c>
    </row>
    <row r="26" spans="1:9" s="83" customFormat="1" ht="15" customHeight="1">
      <c r="A26" s="78"/>
      <c r="B26" s="78"/>
      <c r="C26" s="78"/>
      <c r="D26" s="78"/>
      <c r="E26" s="82"/>
      <c r="F26" s="179"/>
      <c r="G26" s="78"/>
      <c r="H26" s="179"/>
    </row>
    <row r="27" spans="1:9" ht="22.5" customHeight="1">
      <c r="A27" s="63" t="s">
        <v>67</v>
      </c>
      <c r="B27" s="67"/>
      <c r="C27" s="67"/>
      <c r="D27" s="67"/>
      <c r="E27" s="67"/>
      <c r="F27" s="68"/>
      <c r="G27" s="235">
        <f>SUM(G28:G33)</f>
        <v>99.999999999999986</v>
      </c>
      <c r="H27" s="235">
        <f>SUM(H28:H33)</f>
        <v>100</v>
      </c>
      <c r="I27" s="64"/>
    </row>
    <row r="28" spans="1:9" ht="26.25" customHeight="1">
      <c r="A28" s="391" t="s">
        <v>109</v>
      </c>
      <c r="B28" s="391"/>
      <c r="C28" s="391"/>
      <c r="D28" s="391"/>
      <c r="E28" s="391"/>
      <c r="F28" s="68"/>
      <c r="G28" s="236">
        <v>68.099999999999994</v>
      </c>
      <c r="H28" s="227">
        <v>68.2</v>
      </c>
      <c r="I28" s="64"/>
    </row>
    <row r="29" spans="1:9" ht="26.25" customHeight="1">
      <c r="A29" s="391" t="s">
        <v>75</v>
      </c>
      <c r="B29" s="391"/>
      <c r="C29" s="391"/>
      <c r="D29" s="391"/>
      <c r="E29" s="391"/>
      <c r="F29" s="68"/>
      <c r="G29" s="236">
        <v>20.5</v>
      </c>
      <c r="H29" s="227">
        <v>20.399999999999999</v>
      </c>
      <c r="I29" s="64"/>
    </row>
    <row r="30" spans="1:9" ht="26.25" customHeight="1">
      <c r="A30" s="391" t="s">
        <v>76</v>
      </c>
      <c r="B30" s="391"/>
      <c r="C30" s="391"/>
      <c r="D30" s="391"/>
      <c r="E30" s="391"/>
      <c r="F30" s="68"/>
      <c r="G30" s="236">
        <v>2.5</v>
      </c>
      <c r="H30" s="227">
        <v>2.2999999999999998</v>
      </c>
      <c r="I30" s="64"/>
    </row>
    <row r="31" spans="1:9" ht="26.25" customHeight="1">
      <c r="A31" s="391" t="s">
        <v>92</v>
      </c>
      <c r="B31" s="391"/>
      <c r="C31" s="391"/>
      <c r="D31" s="391"/>
      <c r="E31" s="391"/>
      <c r="F31" s="68"/>
      <c r="G31" s="236">
        <v>4.5999999999999996</v>
      </c>
      <c r="H31" s="227">
        <v>4.4000000000000004</v>
      </c>
      <c r="I31" s="64"/>
    </row>
    <row r="32" spans="1:9" ht="26.25" customHeight="1">
      <c r="A32" s="391" t="s">
        <v>122</v>
      </c>
      <c r="B32" s="391"/>
      <c r="C32" s="391"/>
      <c r="D32" s="391"/>
      <c r="E32" s="391"/>
      <c r="F32" s="68"/>
      <c r="G32" s="236">
        <v>3.5</v>
      </c>
      <c r="H32" s="227">
        <v>3</v>
      </c>
      <c r="I32" s="64"/>
    </row>
    <row r="33" spans="1:8" ht="26.25" customHeight="1">
      <c r="A33" s="392" t="s">
        <v>123</v>
      </c>
      <c r="B33" s="392"/>
      <c r="C33" s="392"/>
      <c r="D33" s="392"/>
      <c r="E33" s="392"/>
      <c r="F33" s="68"/>
      <c r="G33" s="237">
        <v>0.8</v>
      </c>
      <c r="H33" s="227">
        <v>1.7</v>
      </c>
    </row>
    <row r="34" spans="1:8" ht="17.25" thickBot="1">
      <c r="B34" s="68"/>
      <c r="C34" s="279"/>
      <c r="D34" s="68"/>
      <c r="E34" s="68"/>
      <c r="F34" s="279"/>
      <c r="G34" s="68"/>
      <c r="H34" s="68"/>
    </row>
    <row r="35" spans="1:8">
      <c r="A35" s="156"/>
      <c r="B35" s="156"/>
      <c r="C35" s="69"/>
      <c r="D35" s="156"/>
      <c r="E35" s="156"/>
      <c r="F35" s="68"/>
      <c r="G35" s="156"/>
      <c r="H35" s="156"/>
    </row>
  </sheetData>
  <sheetProtection algorithmName="SHA-512" hashValue="FKCZU0KQ0qM8DkoAzPBrUwCkUSjLuGvcvhr/rSheoWaapY++5VVjNUkxI0pZkPVtBQiLlAxzuC3XrHEnosvFng==" saltValue="8rn0eHmiPB5op7Ny0c123g==" spinCount="100000" sheet="1" objects="1" scenarios="1"/>
  <mergeCells count="24">
    <mergeCell ref="A21:H21"/>
    <mergeCell ref="A1:H1"/>
    <mergeCell ref="A2:H2"/>
    <mergeCell ref="A4:A7"/>
    <mergeCell ref="B4:D4"/>
    <mergeCell ref="F4:H4"/>
    <mergeCell ref="C5:C6"/>
    <mergeCell ref="D5:D6"/>
    <mergeCell ref="E5:E6"/>
    <mergeCell ref="G5:G6"/>
    <mergeCell ref="H5:H6"/>
    <mergeCell ref="B7:D7"/>
    <mergeCell ref="F7:H7"/>
    <mergeCell ref="B5:B6"/>
    <mergeCell ref="F5:F6"/>
    <mergeCell ref="A32:E32"/>
    <mergeCell ref="A33:E33"/>
    <mergeCell ref="A31:E31"/>
    <mergeCell ref="A30:E30"/>
    <mergeCell ref="A22:H22"/>
    <mergeCell ref="A28:E28"/>
    <mergeCell ref="A24:E25"/>
    <mergeCell ref="G24:H24"/>
    <mergeCell ref="A29:E29"/>
  </mergeCells>
  <pageMargins left="0.7" right="0.7" top="0.74803149606299202" bottom="0.74803149606299202" header="0.31496062992126" footer="0.31496062992126"/>
  <pageSetup paperSize="9" scale="90" orientation="portrait" r:id="rId1"/>
  <headerFooter>
    <oddFooter>&amp;C&amp;"Century Gothic,Regular"&amp;10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E58"/>
  <sheetViews>
    <sheetView view="pageBreakPreview" zoomScaleNormal="100" zoomScaleSheetLayoutView="100" workbookViewId="0">
      <selection sqref="A1:D1"/>
    </sheetView>
  </sheetViews>
  <sheetFormatPr defaultRowHeight="16.5"/>
  <cols>
    <col min="1" max="1" width="22.7109375" style="34" customWidth="1"/>
    <col min="2" max="2" width="34.7109375" style="34" customWidth="1"/>
    <col min="3" max="4" width="15.7109375" style="34" customWidth="1"/>
    <col min="5" max="16384" width="9.140625" style="34"/>
  </cols>
  <sheetData>
    <row r="1" spans="1:5" ht="15" customHeight="1">
      <c r="A1" s="396" t="s">
        <v>197</v>
      </c>
      <c r="B1" s="396"/>
      <c r="C1" s="396"/>
      <c r="D1" s="396"/>
      <c r="E1" s="182"/>
    </row>
    <row r="2" spans="1:5" ht="15" customHeight="1">
      <c r="A2" s="397" t="s">
        <v>164</v>
      </c>
      <c r="B2" s="397"/>
      <c r="C2" s="397"/>
      <c r="D2" s="397"/>
    </row>
    <row r="3" spans="1:5" ht="15" customHeight="1" thickBot="1">
      <c r="B3" s="56"/>
      <c r="C3" s="152"/>
      <c r="D3" s="49"/>
    </row>
    <row r="4" spans="1:5" ht="16.5" customHeight="1" thickBot="1">
      <c r="A4" s="150" t="s">
        <v>33</v>
      </c>
      <c r="B4" s="150" t="s">
        <v>34</v>
      </c>
      <c r="C4" s="327" t="s">
        <v>196</v>
      </c>
      <c r="D4" s="327"/>
    </row>
    <row r="5" spans="1:5" ht="17.25" thickBot="1">
      <c r="A5" s="197" t="s">
        <v>31</v>
      </c>
      <c r="B5" s="197" t="s">
        <v>32</v>
      </c>
      <c r="C5" s="137">
        <v>2017</v>
      </c>
      <c r="D5" s="137">
        <v>2018</v>
      </c>
    </row>
    <row r="6" spans="1:5" s="79" customFormat="1" ht="13.5" customHeight="1">
      <c r="A6" s="198"/>
      <c r="B6" s="198"/>
      <c r="C6" s="179"/>
      <c r="D6" s="179"/>
    </row>
    <row r="7" spans="1:5" ht="18" customHeight="1">
      <c r="A7" s="36" t="s">
        <v>77</v>
      </c>
      <c r="B7" s="57"/>
      <c r="C7" s="58"/>
      <c r="D7" s="243"/>
    </row>
    <row r="8" spans="1:5" ht="18" customHeight="1">
      <c r="A8" s="40" t="s">
        <v>77</v>
      </c>
      <c r="B8" s="54"/>
      <c r="C8" s="244">
        <v>100.00000000000001</v>
      </c>
      <c r="D8" s="244">
        <f>SUM(D9:D12)</f>
        <v>100.00000000000001</v>
      </c>
    </row>
    <row r="9" spans="1:5" ht="18" customHeight="1">
      <c r="A9" s="40"/>
      <c r="B9" s="36" t="s">
        <v>45</v>
      </c>
      <c r="C9" s="245">
        <v>19.581802600755669</v>
      </c>
      <c r="D9" s="227">
        <v>19.052946392898125</v>
      </c>
    </row>
    <row r="10" spans="1:5" ht="18" customHeight="1">
      <c r="A10" s="37"/>
      <c r="B10" s="36" t="s">
        <v>18</v>
      </c>
      <c r="C10" s="245">
        <v>39.060691659743298</v>
      </c>
      <c r="D10" s="227">
        <v>39.592751021537374</v>
      </c>
    </row>
    <row r="11" spans="1:5" ht="18" customHeight="1">
      <c r="A11" s="37"/>
      <c r="B11" s="36" t="s">
        <v>19</v>
      </c>
      <c r="C11" s="245">
        <v>26.301993415148139</v>
      </c>
      <c r="D11" s="227">
        <v>26.408643564855204</v>
      </c>
    </row>
    <row r="12" spans="1:5" ht="18" customHeight="1">
      <c r="A12" s="37"/>
      <c r="B12" s="36" t="s">
        <v>20</v>
      </c>
      <c r="C12" s="245">
        <v>15</v>
      </c>
      <c r="D12" s="227">
        <v>14.945659020709304</v>
      </c>
    </row>
    <row r="13" spans="1:5" ht="15" customHeight="1">
      <c r="A13" s="37"/>
      <c r="B13" s="37"/>
      <c r="C13" s="246"/>
    </row>
    <row r="14" spans="1:5" ht="18" customHeight="1">
      <c r="A14" s="59" t="s">
        <v>90</v>
      </c>
      <c r="B14" s="57"/>
      <c r="C14" s="246"/>
    </row>
    <row r="15" spans="1:5" ht="18" customHeight="1">
      <c r="A15" s="40" t="s">
        <v>77</v>
      </c>
      <c r="B15" s="54"/>
      <c r="C15" s="247">
        <f t="shared" ref="C15:D15" si="0">SUM(C16:C19)</f>
        <v>100</v>
      </c>
      <c r="D15" s="230">
        <f t="shared" si="0"/>
        <v>100.00000000000001</v>
      </c>
    </row>
    <row r="16" spans="1:5" ht="18" customHeight="1">
      <c r="A16" s="40"/>
      <c r="B16" s="36" t="s">
        <v>45</v>
      </c>
      <c r="C16" s="248">
        <v>19.399999999999999</v>
      </c>
      <c r="D16" s="229">
        <v>18.555772366937678</v>
      </c>
    </row>
    <row r="17" spans="1:4" ht="18" customHeight="1">
      <c r="A17" s="37"/>
      <c r="B17" s="36" t="s">
        <v>18</v>
      </c>
      <c r="C17" s="248">
        <v>38.700000000000003</v>
      </c>
      <c r="D17" s="229">
        <v>38.693811232978</v>
      </c>
    </row>
    <row r="18" spans="1:4" ht="18" customHeight="1">
      <c r="A18" s="37"/>
      <c r="B18" s="36" t="s">
        <v>19</v>
      </c>
      <c r="C18" s="248">
        <v>26.4</v>
      </c>
      <c r="D18" s="229">
        <v>27.043953217207132</v>
      </c>
    </row>
    <row r="19" spans="1:4" ht="18" customHeight="1">
      <c r="A19" s="37"/>
      <c r="B19" s="36" t="s">
        <v>20</v>
      </c>
      <c r="C19" s="248">
        <v>15.5</v>
      </c>
      <c r="D19" s="229">
        <v>15.706463182877197</v>
      </c>
    </row>
    <row r="20" spans="1:4" ht="15" customHeight="1">
      <c r="A20" s="37"/>
      <c r="B20" s="37"/>
      <c r="C20" s="246"/>
      <c r="D20" s="229"/>
    </row>
    <row r="21" spans="1:4" ht="18" customHeight="1">
      <c r="A21" s="36" t="s">
        <v>91</v>
      </c>
      <c r="B21" s="33"/>
      <c r="C21" s="246"/>
      <c r="D21" s="229"/>
    </row>
    <row r="22" spans="1:4" ht="18" customHeight="1">
      <c r="A22" s="40" t="s">
        <v>77</v>
      </c>
      <c r="B22" s="54"/>
      <c r="C22" s="244">
        <f t="shared" ref="C22:D22" si="1">SUM(C23:C26)</f>
        <v>100</v>
      </c>
      <c r="D22" s="230">
        <f t="shared" si="1"/>
        <v>99.999999999999972</v>
      </c>
    </row>
    <row r="23" spans="1:4" ht="18" customHeight="1">
      <c r="A23" s="40"/>
      <c r="B23" s="36" t="s">
        <v>45</v>
      </c>
      <c r="C23" s="245">
        <v>19.801906420252109</v>
      </c>
      <c r="D23" s="229">
        <v>19.548349345530543</v>
      </c>
    </row>
    <row r="24" spans="1:4" ht="18" customHeight="1">
      <c r="A24" s="37"/>
      <c r="B24" s="36" t="s">
        <v>18</v>
      </c>
      <c r="C24" s="245">
        <v>39.544618419619773</v>
      </c>
      <c r="D24" s="229">
        <v>40.488488534434929</v>
      </c>
    </row>
    <row r="25" spans="1:4" ht="18" customHeight="1">
      <c r="A25" s="37"/>
      <c r="B25" s="36" t="s">
        <v>19</v>
      </c>
      <c r="C25" s="245">
        <v>26.186379691998209</v>
      </c>
      <c r="D25" s="229">
        <v>25.775597063676827</v>
      </c>
    </row>
    <row r="26" spans="1:4" ht="18" customHeight="1">
      <c r="A26" s="37"/>
      <c r="B26" s="36" t="s">
        <v>20</v>
      </c>
      <c r="C26" s="245">
        <v>14.467095468129918</v>
      </c>
      <c r="D26" s="229">
        <v>14.187565056357677</v>
      </c>
    </row>
    <row r="27" spans="1:4" ht="18" customHeight="1" thickBot="1">
      <c r="A27" s="152"/>
      <c r="B27" s="152"/>
      <c r="C27" s="249"/>
    </row>
    <row r="28" spans="1:4" ht="16.5" customHeight="1" thickBot="1">
      <c r="A28" s="150"/>
      <c r="B28" s="150" t="s">
        <v>36</v>
      </c>
      <c r="C28" s="330" t="s">
        <v>196</v>
      </c>
      <c r="D28" s="330"/>
    </row>
    <row r="29" spans="1:4" ht="17.25" thickBot="1">
      <c r="A29" s="199"/>
      <c r="B29" s="197" t="s">
        <v>35</v>
      </c>
      <c r="C29" s="138">
        <v>2017</v>
      </c>
      <c r="D29" s="128">
        <v>2018</v>
      </c>
    </row>
    <row r="30" spans="1:4" s="79" customFormat="1" ht="13.5" customHeight="1">
      <c r="A30" s="198"/>
      <c r="B30" s="198"/>
      <c r="C30" s="179"/>
      <c r="D30" s="78"/>
    </row>
    <row r="31" spans="1:4" ht="18" customHeight="1">
      <c r="A31" s="40" t="s">
        <v>77</v>
      </c>
      <c r="B31" s="54"/>
      <c r="C31" s="244">
        <f t="shared" ref="C31" si="2">SUM(C32:C35)</f>
        <v>100</v>
      </c>
      <c r="D31" s="230">
        <f t="shared" ref="D31" si="3">SUM(D32:D35)</f>
        <v>100</v>
      </c>
    </row>
    <row r="32" spans="1:4" ht="18" customHeight="1">
      <c r="A32" s="37"/>
      <c r="B32" s="36" t="s">
        <v>78</v>
      </c>
      <c r="C32" s="248">
        <v>60</v>
      </c>
      <c r="D32" s="228">
        <v>66.7</v>
      </c>
    </row>
    <row r="33" spans="1:4" ht="18" customHeight="1">
      <c r="A33" s="37"/>
      <c r="B33" s="36" t="s">
        <v>79</v>
      </c>
      <c r="C33" s="248">
        <v>22.2</v>
      </c>
      <c r="D33" s="228">
        <v>20.100000000000001</v>
      </c>
    </row>
    <row r="34" spans="1:4" ht="18" customHeight="1">
      <c r="A34" s="37"/>
      <c r="B34" s="36" t="s">
        <v>124</v>
      </c>
      <c r="C34" s="248">
        <v>6.8</v>
      </c>
      <c r="D34" s="228">
        <v>6.1</v>
      </c>
    </row>
    <row r="35" spans="1:4" ht="18" customHeight="1">
      <c r="A35" s="60"/>
      <c r="B35" s="36" t="s">
        <v>80</v>
      </c>
      <c r="C35" s="248">
        <v>11</v>
      </c>
      <c r="D35" s="228">
        <v>7.1</v>
      </c>
    </row>
    <row r="36" spans="1:4" ht="18" customHeight="1" thickBot="1">
      <c r="A36" s="200"/>
      <c r="B36" s="201"/>
      <c r="C36" s="38"/>
      <c r="D36" s="38"/>
    </row>
    <row r="37" spans="1:4" ht="16.5" customHeight="1" thickBot="1">
      <c r="A37" s="202"/>
      <c r="B37" s="199" t="s">
        <v>38</v>
      </c>
      <c r="C37" s="330" t="s">
        <v>196</v>
      </c>
      <c r="D37" s="330"/>
    </row>
    <row r="38" spans="1:4" ht="17.25" thickBot="1">
      <c r="A38" s="203"/>
      <c r="B38" s="197" t="s">
        <v>37</v>
      </c>
      <c r="C38" s="138">
        <v>2017</v>
      </c>
      <c r="D38" s="128">
        <v>2018</v>
      </c>
    </row>
    <row r="39" spans="1:4" s="79" customFormat="1" ht="13.5" customHeight="1">
      <c r="A39" s="198"/>
      <c r="B39" s="198"/>
      <c r="C39" s="179"/>
      <c r="D39" s="78"/>
    </row>
    <row r="40" spans="1:4" ht="18" customHeight="1">
      <c r="A40" s="61" t="s">
        <v>77</v>
      </c>
      <c r="B40" s="54"/>
      <c r="C40" s="244">
        <f t="shared" ref="C40" si="4">SUM(C41:C44)</f>
        <v>100</v>
      </c>
      <c r="D40" s="230">
        <f t="shared" ref="D40" si="5">SUM(D41:D44)</f>
        <v>100</v>
      </c>
    </row>
    <row r="41" spans="1:4" ht="18" customHeight="1">
      <c r="A41" s="40"/>
      <c r="B41" s="36" t="s">
        <v>81</v>
      </c>
      <c r="C41" s="248">
        <v>27.4</v>
      </c>
      <c r="D41" s="229">
        <v>31.6</v>
      </c>
    </row>
    <row r="42" spans="1:4" ht="18" customHeight="1">
      <c r="A42" s="37"/>
      <c r="B42" s="36" t="s">
        <v>82</v>
      </c>
      <c r="C42" s="248">
        <v>52.2</v>
      </c>
      <c r="D42" s="229">
        <v>52</v>
      </c>
    </row>
    <row r="43" spans="1:4" ht="18" customHeight="1">
      <c r="A43" s="37"/>
      <c r="B43" s="36" t="s">
        <v>83</v>
      </c>
      <c r="C43" s="248">
        <v>18</v>
      </c>
      <c r="D43" s="229">
        <v>15</v>
      </c>
    </row>
    <row r="44" spans="1:4" ht="33.75" customHeight="1">
      <c r="A44" s="37"/>
      <c r="B44" s="36" t="s">
        <v>94</v>
      </c>
      <c r="C44" s="248">
        <v>2.4</v>
      </c>
      <c r="D44" s="229">
        <v>1.4</v>
      </c>
    </row>
    <row r="45" spans="1:4" ht="18" customHeight="1" thickBot="1">
      <c r="A45" s="201"/>
      <c r="B45" s="201"/>
      <c r="C45" s="186"/>
      <c r="D45" s="186"/>
    </row>
    <row r="58" spans="1:4">
      <c r="A58" s="395"/>
      <c r="B58" s="395"/>
      <c r="C58" s="395"/>
      <c r="D58" s="395"/>
    </row>
  </sheetData>
  <sheetProtection algorithmName="SHA-512" hashValue="t9ICTEhpDtsxGLlIDkdnDnwE296cXWHFLqGdDf6zHzGH5clT0JvDJFtH+HAPhkib6EWYHzi4cw7ZY47QzFukLA==" saltValue="m7FrpoYrnsunSVmBQIsL6w==" spinCount="100000" sheet="1" objects="1" scenarios="1"/>
  <mergeCells count="6">
    <mergeCell ref="A58:D58"/>
    <mergeCell ref="A1:D1"/>
    <mergeCell ref="A2:D2"/>
    <mergeCell ref="C4:D4"/>
    <mergeCell ref="C28:D28"/>
    <mergeCell ref="C37:D3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view="pageBreakPreview" zoomScaleNormal="100" zoomScaleSheetLayoutView="100" workbookViewId="0">
      <selection sqref="A1:D1"/>
    </sheetView>
  </sheetViews>
  <sheetFormatPr defaultRowHeight="15"/>
  <cols>
    <col min="1" max="1" width="22.7109375" style="45" customWidth="1"/>
    <col min="2" max="2" width="34.7109375" style="45" customWidth="1"/>
    <col min="3" max="4" width="15.7109375" style="45" customWidth="1"/>
    <col min="5" max="16384" width="9.140625" style="45"/>
  </cols>
  <sheetData>
    <row r="1" spans="1:4" s="34" customFormat="1" ht="15" customHeight="1">
      <c r="A1" s="339" t="s">
        <v>162</v>
      </c>
      <c r="B1" s="339"/>
      <c r="C1" s="339"/>
      <c r="D1" s="339"/>
    </row>
    <row r="2" spans="1:4" s="34" customFormat="1" ht="15" customHeight="1">
      <c r="A2" s="340" t="s">
        <v>163</v>
      </c>
      <c r="B2" s="340"/>
      <c r="C2" s="340"/>
      <c r="D2" s="340"/>
    </row>
    <row r="3" spans="1:4" ht="15.75" thickBot="1"/>
    <row r="4" spans="1:4" ht="16.5" customHeight="1" thickBot="1">
      <c r="A4" s="204"/>
      <c r="B4" s="150" t="s">
        <v>39</v>
      </c>
      <c r="C4" s="330" t="s">
        <v>196</v>
      </c>
      <c r="D4" s="330"/>
    </row>
    <row r="5" spans="1:4" ht="16.5" customHeight="1" thickBot="1">
      <c r="A5" s="205"/>
      <c r="B5" s="197" t="s">
        <v>40</v>
      </c>
      <c r="C5" s="138">
        <v>2017</v>
      </c>
      <c r="D5" s="138">
        <v>2018</v>
      </c>
    </row>
    <row r="6" spans="1:4" s="84" customFormat="1" ht="13.5" customHeight="1">
      <c r="A6" s="206"/>
      <c r="B6" s="198"/>
      <c r="C6" s="179"/>
      <c r="D6" s="179"/>
    </row>
    <row r="7" spans="1:4" ht="22.5" customHeight="1">
      <c r="A7" s="40" t="s">
        <v>77</v>
      </c>
      <c r="B7" s="54"/>
      <c r="C7" s="247">
        <f>SUM(C8:C12)</f>
        <v>100</v>
      </c>
      <c r="D7" s="247">
        <f>SUM(D8:D12)</f>
        <v>100</v>
      </c>
    </row>
    <row r="8" spans="1:4" ht="22.5" customHeight="1">
      <c r="A8" s="40"/>
      <c r="B8" s="36" t="s">
        <v>21</v>
      </c>
      <c r="C8" s="248">
        <v>7.8</v>
      </c>
      <c r="D8" s="248">
        <v>9.6</v>
      </c>
    </row>
    <row r="9" spans="1:4" ht="22.5" customHeight="1">
      <c r="A9" s="35"/>
      <c r="B9" s="36" t="s">
        <v>22</v>
      </c>
      <c r="C9" s="248">
        <v>34.700000000000003</v>
      </c>
      <c r="D9" s="248">
        <v>43.3</v>
      </c>
    </row>
    <row r="10" spans="1:4" ht="22.5" customHeight="1">
      <c r="A10" s="35"/>
      <c r="B10" s="36" t="s">
        <v>23</v>
      </c>
      <c r="C10" s="248">
        <v>23.4</v>
      </c>
      <c r="D10" s="248">
        <v>23.7</v>
      </c>
    </row>
    <row r="11" spans="1:4" ht="22.5" customHeight="1">
      <c r="A11" s="35"/>
      <c r="B11" s="36" t="s">
        <v>24</v>
      </c>
      <c r="C11" s="248">
        <v>22.5</v>
      </c>
      <c r="D11" s="248">
        <v>17.399999999999999</v>
      </c>
    </row>
    <row r="12" spans="1:4" ht="22.5" customHeight="1">
      <c r="A12" s="35"/>
      <c r="B12" s="36" t="s">
        <v>25</v>
      </c>
      <c r="C12" s="248">
        <v>11.6</v>
      </c>
      <c r="D12" s="248">
        <v>6</v>
      </c>
    </row>
    <row r="13" spans="1:4" ht="18" customHeight="1" thickBot="1">
      <c r="A13" s="34"/>
      <c r="B13" s="208"/>
      <c r="C13" s="55"/>
      <c r="D13" s="34"/>
    </row>
    <row r="14" spans="1:4" ht="16.5" customHeight="1" thickBot="1">
      <c r="A14" s="209"/>
      <c r="B14" s="207" t="s">
        <v>41</v>
      </c>
      <c r="C14" s="327" t="s">
        <v>196</v>
      </c>
      <c r="D14" s="327"/>
    </row>
    <row r="15" spans="1:4" ht="16.5" customHeight="1" thickBot="1">
      <c r="A15" s="211"/>
      <c r="B15" s="210" t="s">
        <v>42</v>
      </c>
      <c r="C15" s="137">
        <v>2017</v>
      </c>
      <c r="D15" s="137">
        <v>2018</v>
      </c>
    </row>
    <row r="16" spans="1:4" s="84" customFormat="1" ht="13.5" customHeight="1">
      <c r="A16" s="206"/>
      <c r="B16" s="198"/>
      <c r="C16" s="179"/>
      <c r="D16" s="179"/>
    </row>
    <row r="17" spans="1:4" ht="22.5" customHeight="1">
      <c r="A17" s="40" t="s">
        <v>77</v>
      </c>
      <c r="B17" s="54"/>
      <c r="C17" s="250">
        <f>C18+C24</f>
        <v>99.972243528622641</v>
      </c>
      <c r="D17" s="250">
        <f>D18+D24</f>
        <v>100</v>
      </c>
    </row>
    <row r="18" spans="1:4" ht="37.5" customHeight="1">
      <c r="A18" s="40"/>
      <c r="B18" s="36" t="s">
        <v>84</v>
      </c>
      <c r="C18" s="247">
        <f>SUM(C19:C23)</f>
        <v>62</v>
      </c>
      <c r="D18" s="247">
        <f>SUM(D19:D23)</f>
        <v>65.2</v>
      </c>
    </row>
    <row r="19" spans="1:4" ht="37.5" customHeight="1">
      <c r="A19" s="37"/>
      <c r="B19" s="85" t="s">
        <v>95</v>
      </c>
      <c r="C19" s="248">
        <v>14.5</v>
      </c>
      <c r="D19" s="248">
        <v>18.100000000000001</v>
      </c>
    </row>
    <row r="20" spans="1:4" ht="37.5" customHeight="1">
      <c r="A20" s="37"/>
      <c r="B20" s="85" t="s">
        <v>96</v>
      </c>
      <c r="C20" s="248">
        <v>3</v>
      </c>
      <c r="D20" s="248">
        <v>3.1</v>
      </c>
    </row>
    <row r="21" spans="1:4" ht="37.5" customHeight="1">
      <c r="A21" s="37"/>
      <c r="B21" s="85" t="s">
        <v>97</v>
      </c>
      <c r="C21" s="248">
        <v>20.399999999999999</v>
      </c>
      <c r="D21" s="248">
        <v>22.6</v>
      </c>
    </row>
    <row r="22" spans="1:4" ht="37.5" customHeight="1">
      <c r="A22" s="37"/>
      <c r="B22" s="85" t="s">
        <v>98</v>
      </c>
      <c r="C22" s="248">
        <v>10.3</v>
      </c>
      <c r="D22" s="248">
        <v>8.3000000000000007</v>
      </c>
    </row>
    <row r="23" spans="1:4" ht="37.5" customHeight="1">
      <c r="A23" s="37"/>
      <c r="B23" s="85" t="s">
        <v>99</v>
      </c>
      <c r="C23" s="248">
        <v>13.8</v>
      </c>
      <c r="D23" s="248">
        <v>13.1</v>
      </c>
    </row>
    <row r="24" spans="1:4" ht="37.5" customHeight="1">
      <c r="A24" s="37"/>
      <c r="B24" s="36" t="s">
        <v>85</v>
      </c>
      <c r="C24" s="247">
        <f>SUM(C25:C28)</f>
        <v>37.972243528622641</v>
      </c>
      <c r="D24" s="247">
        <f>SUM(D25:D28)</f>
        <v>34.800000000000004</v>
      </c>
    </row>
    <row r="25" spans="1:4" ht="37.5" customHeight="1">
      <c r="A25" s="37"/>
      <c r="B25" s="86" t="s">
        <v>86</v>
      </c>
      <c r="C25" s="248">
        <v>4.226784978211561</v>
      </c>
      <c r="D25" s="248">
        <v>4.4000000000000004</v>
      </c>
    </row>
    <row r="26" spans="1:4" ht="37.5" customHeight="1">
      <c r="A26" s="37"/>
      <c r="B26" s="86" t="s">
        <v>87</v>
      </c>
      <c r="C26" s="248">
        <v>4.3327319265568853</v>
      </c>
      <c r="D26" s="248">
        <v>4.5</v>
      </c>
    </row>
    <row r="27" spans="1:4" ht="37.5" customHeight="1">
      <c r="A27" s="37"/>
      <c r="B27" s="86" t="s">
        <v>88</v>
      </c>
      <c r="C27" s="248">
        <v>11.394863854987904</v>
      </c>
      <c r="D27" s="248">
        <v>11.8</v>
      </c>
    </row>
    <row r="28" spans="1:4" ht="37.5" customHeight="1">
      <c r="A28" s="37"/>
      <c r="B28" s="86" t="s">
        <v>89</v>
      </c>
      <c r="C28" s="248">
        <v>18.017862768866294</v>
      </c>
      <c r="D28" s="248">
        <v>14.1</v>
      </c>
    </row>
    <row r="29" spans="1:4" ht="23.25" customHeight="1" thickBot="1">
      <c r="A29" s="201"/>
      <c r="B29" s="201"/>
      <c r="C29" s="280"/>
      <c r="D29" s="281"/>
    </row>
  </sheetData>
  <sheetProtection algorithmName="SHA-512" hashValue="v2ZsoPhXiTZ8j+04KkRsGHpX/Oo30M7ZepLSo2TnPrSPtLMC1zeQRjZmECsVsY7eFytFIrlE1z/129zWfp6l3A==" saltValue="j0s8zJv4bhM2C3tWsqzkKw==" spinCount="100000" sheet="1" objects="1" scenarios="1"/>
  <mergeCells count="4">
    <mergeCell ref="C4:D4"/>
    <mergeCell ref="C14:D14"/>
    <mergeCell ref="A1:D1"/>
    <mergeCell ref="A2:D2"/>
  </mergeCells>
  <pageMargins left="0.7" right="0.7" top="0.75" bottom="0.75" header="0.3" footer="0.3"/>
  <pageSetup paperSize="9" scale="95" orientation="portrait" r:id="rId1"/>
  <headerFooter>
    <oddFooter>&amp;C&amp;"Century Gothic,Regular"&amp;10 38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Jadual 1</vt:lpstr>
      <vt:lpstr>Jadual 2 &amp; 3</vt:lpstr>
      <vt:lpstr>Jadual 4 &amp; 5</vt:lpstr>
      <vt:lpstr>Jadual 6</vt:lpstr>
      <vt:lpstr>Jadual 7</vt:lpstr>
      <vt:lpstr>Jadual 8A</vt:lpstr>
      <vt:lpstr>Jadual 8B</vt:lpstr>
      <vt:lpstr>Jadual 9</vt:lpstr>
      <vt:lpstr>Jadual 10</vt:lpstr>
      <vt:lpstr>Jadual 11 &amp; 12</vt:lpstr>
      <vt:lpstr>Jadual 13</vt:lpstr>
      <vt:lpstr>Jadual 13(2)</vt:lpstr>
      <vt:lpstr>'Jadual 1'!Print_Area</vt:lpstr>
      <vt:lpstr>'Jadual 10'!Print_Area</vt:lpstr>
      <vt:lpstr>'Jadual 11 &amp; 12'!Print_Area</vt:lpstr>
      <vt:lpstr>'Jadual 13'!Print_Area</vt:lpstr>
      <vt:lpstr>'Jadual 2 &amp; 3'!Print_Area</vt:lpstr>
      <vt:lpstr>'Jadual 4 &amp; 5'!Print_Area</vt:lpstr>
      <vt:lpstr>'Jadual 6'!Print_Area</vt:lpstr>
      <vt:lpstr>'Jadual 7'!Print_Area</vt:lpstr>
      <vt:lpstr>'Jadual 8A'!Print_Area</vt:lpstr>
      <vt:lpstr>'Jadual 8B'!Print_Area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nurti.asmaria</cp:lastModifiedBy>
  <cp:lastPrinted>2019-06-27T10:16:43Z</cp:lastPrinted>
  <dcterms:created xsi:type="dcterms:W3CDTF">2013-06-13T06:25:20Z</dcterms:created>
  <dcterms:modified xsi:type="dcterms:W3CDTF">2019-06-27T11:13:00Z</dcterms:modified>
</cp:coreProperties>
</file>